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cenario" sheetId="1" r:id="rId5"/>
    <sheet state="visible" name="APIFunctionality" sheetId="2" r:id="rId6"/>
    <sheet state="visible" name="AuthAPI" sheetId="3" r:id="rId7"/>
    <sheet state="visible" name="EntityTypeAPI" sheetId="4" r:id="rId8"/>
    <sheet state="visible" name="DocumentAPI" sheetId="5" r:id="rId9"/>
    <sheet state="visible" name="AdminAPI" sheetId="6" r:id="rId10"/>
    <sheet state="visible" name="ChecklistAPI" sheetId="7" r:id="rId11"/>
    <sheet state="visible" name="DepartmentAPI" sheetId="8" r:id="rId12"/>
    <sheet state="visible" name="FileAPI" sheetId="9" r:id="rId13"/>
    <sheet state="visible" name="Offboading" sheetId="10" r:id="rId14"/>
    <sheet state="visible" name="UserAPI" sheetId="11" r:id="rId15"/>
    <sheet state="visible" name="UserProfileAPI" sheetId="12" r:id="rId16"/>
    <sheet state="visible" name="LoginFunctionality" sheetId="13" r:id="rId17"/>
    <sheet state="visible" name="RegistrationFunctionality" sheetId="14" r:id="rId18"/>
    <sheet state="visible" name="PasswordManagement" sheetId="15" r:id="rId19"/>
    <sheet state="visible" name="ForgotPassword" sheetId="16" r:id="rId20"/>
    <sheet state="visible" name="RBACFunctionality" sheetId="17" r:id="rId21"/>
    <sheet state="visible" name="LogAuditFunctionality" sheetId="18" r:id="rId22"/>
    <sheet state="visible" name="Screenshots" sheetId="19" r:id="rId23"/>
    <sheet state="visible" name="SetPasswordAPI" sheetId="20" r:id="rId24"/>
    <sheet state="visible" name="ForgotPasswordAPI" sheetId="21" r:id="rId25"/>
    <sheet state="visible" name="TokenAPI" sheetId="22" r:id="rId26"/>
    <sheet state="visible" name="LoginAPI" sheetId="23" r:id="rId27"/>
    <sheet state="visible" name="LogoutAPI" sheetId="24" r:id="rId28"/>
  </sheets>
  <definedNames/>
  <calcPr/>
</workbook>
</file>

<file path=xl/sharedStrings.xml><?xml version="1.0" encoding="utf-8"?>
<sst xmlns="http://schemas.openxmlformats.org/spreadsheetml/2006/main" count="8785" uniqueCount="2955">
  <si>
    <t>&lt;&lt;&lt;TestScenario</t>
  </si>
  <si>
    <t>Test Scenario ID</t>
  </si>
  <si>
    <t>References</t>
  </si>
  <si>
    <t>Test Scenario Description</t>
  </si>
  <si>
    <t>Priority</t>
  </si>
  <si>
    <t>Project Name</t>
  </si>
  <si>
    <t>Number of Tests</t>
  </si>
  <si>
    <t xml:space="preserve">Number of Passed Tests </t>
  </si>
  <si>
    <t>Number of Failed Tests</t>
  </si>
  <si>
    <t>HRM System</t>
  </si>
  <si>
    <t>Number of Not Tested Tests</t>
  </si>
  <si>
    <t>Number of Fixed Tests</t>
  </si>
  <si>
    <t>(TS-API-001) Auth API Functionality</t>
  </si>
  <si>
    <t>&lt;&lt;&lt;APITestScenario</t>
  </si>
  <si>
    <t>SRS</t>
  </si>
  <si>
    <t>Client</t>
  </si>
  <si>
    <t>XXX</t>
  </si>
  <si>
    <t>Validate the Working of Authorization API Functionality</t>
  </si>
  <si>
    <t>P0</t>
  </si>
  <si>
    <t>Reference Document</t>
  </si>
  <si>
    <t>(TS-AUTH-API-001) Login API Functionality</t>
  </si>
  <si>
    <t>Validate the Working of Login API Functionality</t>
  </si>
  <si>
    <t>Created By</t>
  </si>
  <si>
    <t>Creation Date</t>
  </si>
  <si>
    <t>(TS-API-002) Checklists API Functionality</t>
  </si>
  <si>
    <t>Validate the Working of Checklist API Functionality</t>
  </si>
  <si>
    <t>Approval Date</t>
  </si>
  <si>
    <t>DD-MM-YYYY</t>
  </si>
  <si>
    <t>(TS-AUTH-API-002) Logout API Functionality</t>
  </si>
  <si>
    <t>Validate the Working of Logout API Functionality</t>
  </si>
  <si>
    <t>(TS-API-003) Department API Functionality</t>
  </si>
  <si>
    <t>Validate the Working of Department API Functionality</t>
  </si>
  <si>
    <t>(TS-AUTH-API-003) Forgot Password API Functionality</t>
  </si>
  <si>
    <t>Validate the Working of Forgot Passowrd API Functionality</t>
  </si>
  <si>
    <t>(TS-001) Login Functionality</t>
  </si>
  <si>
    <t>Validate the Working of Login Functionality</t>
  </si>
  <si>
    <t>(TS-AUTH-API-004) Token API Functionality</t>
  </si>
  <si>
    <t>Validate the Working of Token API Functionality</t>
  </si>
  <si>
    <t>(TS-API-004) File API Functionality</t>
  </si>
  <si>
    <t>Validate the Working of File API Functionality</t>
  </si>
  <si>
    <t>(TS-AUTH-API-005) Reset Password API Functionality</t>
  </si>
  <si>
    <t>Validate the Working of Reset Password API Functionality</t>
  </si>
  <si>
    <t>(TS-API-005) User API Functionality</t>
  </si>
  <si>
    <t>Validate the Working of User API Functionality</t>
  </si>
  <si>
    <t>(TS-002) Registration Functionality</t>
  </si>
  <si>
    <t>Validate the working of Registration Functionality</t>
  </si>
  <si>
    <t>(TS-AUTH-API-006) Set Password API Functionality</t>
  </si>
  <si>
    <t>Validate the Working of Set Password API Functionality</t>
  </si>
  <si>
    <t>(TS-API-006) User Profile API Functionality</t>
  </si>
  <si>
    <t>Validate the Working of User Profile API Functionality</t>
  </si>
  <si>
    <t>TOTAL</t>
  </si>
  <si>
    <t>(TS-API-007) Admin API Functionality</t>
  </si>
  <si>
    <t xml:space="preserve">Validate the workin of Admin API Functionality </t>
  </si>
  <si>
    <t>(TS-003) Password Management</t>
  </si>
  <si>
    <t>Validate the working of Password Management Functionality</t>
  </si>
  <si>
    <t>Test Case ID</t>
  </si>
  <si>
    <t>(TS-API-008) Entity Type API Functionality</t>
  </si>
  <si>
    <t>Test Scenario</t>
  </si>
  <si>
    <t>Test Case Title</t>
  </si>
  <si>
    <t>Validate the working of Entity Type API Functionality</t>
  </si>
  <si>
    <t>Method</t>
  </si>
  <si>
    <t>API Endpoints</t>
  </si>
  <si>
    <t>(TS-004) Forgot Password</t>
  </si>
  <si>
    <t>(TS-API-009) Document API Functionality</t>
  </si>
  <si>
    <t>Validate the working of Forgot Password Functionality</t>
  </si>
  <si>
    <t>Validate the Working of Document API Functionality</t>
  </si>
  <si>
    <t>(TS-API-010) UserChecklist API Functionality</t>
  </si>
  <si>
    <t>Validate the Working of UserChecklist API Functionality</t>
  </si>
  <si>
    <t>(TS-005) Session Management</t>
  </si>
  <si>
    <t>Test Data</t>
  </si>
  <si>
    <t>Validate the working of Session Management Functionality</t>
  </si>
  <si>
    <t>Pre-requisites</t>
  </si>
  <si>
    <t>Test Steps</t>
  </si>
  <si>
    <t>Expected Result</t>
  </si>
  <si>
    <t>Actual Result</t>
  </si>
  <si>
    <t>Execution Status</t>
  </si>
  <si>
    <t>Severity</t>
  </si>
  <si>
    <t>Attachments</t>
  </si>
  <si>
    <t>Notes</t>
  </si>
  <si>
    <t>Fetch List of User Metadata</t>
  </si>
  <si>
    <t>API-FETCH-METADATA-001</t>
  </si>
  <si>
    <t>(TS-006) RBAC Functionality</t>
  </si>
  <si>
    <t>Fetch metadata successfully</t>
  </si>
  <si>
    <t>Validate the working of Role Based Access Control Functionality</t>
  </si>
  <si>
    <t>GET</t>
  </si>
  <si>
    <t>/v1/users/metadata</t>
  </si>
  <si>
    <t>Valid Auth Token</t>
  </si>
  <si>
    <t>User logged in</t>
  </si>
  <si>
    <t>Send GET request</t>
  </si>
  <si>
    <t>Status Code "200 OK" with metadata response</t>
  </si>
  <si>
    <t>List of metadata is displayed</t>
  </si>
  <si>
    <t>Pass</t>
  </si>
  <si>
    <t>High</t>
  </si>
  <si>
    <t>Positive case</t>
  </si>
  <si>
    <t>API-FETCH-METADATA-002</t>
  </si>
  <si>
    <t>Validate response structure</t>
  </si>
  <si>
    <t>Valid Token</t>
  </si>
  <si>
    <t>Send request</t>
  </si>
  <si>
    <t>Response contains userType, userStatus, role, gender arrays</t>
  </si>
  <si>
    <t>As expectced</t>
  </si>
  <si>
    <t>Schema validation</t>
  </si>
  <si>
    <t>API-FETCH-METADATA-003</t>
  </si>
  <si>
    <t>Validate array object structure</t>
  </si>
  <si>
    <t>Return All Document Detail</t>
  </si>
  <si>
    <t>Each object contains value, name, title</t>
  </si>
  <si>
    <t>Medium</t>
  </si>
  <si>
    <t>API-GET-DOCUMENT-001</t>
  </si>
  <si>
    <t>Field validation</t>
  </si>
  <si>
    <t>API-FETCH-METADATA-004</t>
  </si>
  <si>
    <t>Validate value datatype</t>
  </si>
  <si>
    <t xml:space="preserve">Verify the document is returned </t>
  </si>
  <si>
    <t>value is string</t>
  </si>
  <si>
    <t>Data type check</t>
  </si>
  <si>
    <t>API-FETCH-METADATA-005</t>
  </si>
  <si>
    <t>Validate name format</t>
  </si>
  <si>
    <t>/v1/documents/{user}</t>
  </si>
  <si>
    <t>valid token, valid ulid of users</t>
  </si>
  <si>
    <t xml:space="preserve">user logged in an , user with ulid exist </t>
  </si>
  <si>
    <t>name is uppercase (e.g., FULLTIME)</t>
  </si>
  <si>
    <t>1. Send GET request with valid ulid</t>
  </si>
  <si>
    <t xml:space="preserve">Status Code "200 OK" and document returned </t>
  </si>
  <si>
    <t>Low</t>
  </si>
  <si>
    <t>Documents related to valid ULID returned</t>
  </si>
  <si>
    <t>Format consistency</t>
  </si>
  <si>
    <t>API-FETCH-METADATA-006</t>
  </si>
  <si>
    <t>Validate title format</t>
  </si>
  <si>
    <t>title is human-readable (e.g., Fulltime)</t>
  </si>
  <si>
    <t>N/A</t>
  </si>
  <si>
    <t>UI validation</t>
  </si>
  <si>
    <t>API-FETCH-METADATA-007</t>
  </si>
  <si>
    <t>Positive test case</t>
  </si>
  <si>
    <t>Empty metadata arrays</t>
  </si>
  <si>
    <t>No metadata configured</t>
  </si>
  <si>
    <t>Returns empty arrays, not null</t>
  </si>
  <si>
    <t>API-GET-DOCUMENT-002</t>
  </si>
  <si>
    <t>Verify that the document number is returned in response</t>
  </si>
  <si>
    <t>Edge case</t>
  </si>
  <si>
    <t>API-FETCH-METADATA-008</t>
  </si>
  <si>
    <t>Missing Authorization header</t>
  </si>
  <si>
    <t>Show All Existing Permissions By Model</t>
  </si>
  <si>
    <t>No Token</t>
  </si>
  <si>
    <t>Status Code "401 Unauthorized" with Unauthenticated message</t>
  </si>
  <si>
    <t>Unauthorized message displayed</t>
  </si>
  <si>
    <t>Status Code "200 OK" and response contains document no</t>
  </si>
  <si>
    <t>As expected</t>
  </si>
  <si>
    <t>Authentication</t>
  </si>
  <si>
    <t>API-FETCH-METADATA-009</t>
  </si>
  <si>
    <t>Invalid JWT token</t>
  </si>
  <si>
    <t>API-ADMIN-PERM-LIST-001</t>
  </si>
  <si>
    <t>Tampered Token</t>
  </si>
  <si>
    <t>Retrieve all permissions successfully</t>
  </si>
  <si>
    <t>Token validation</t>
  </si>
  <si>
    <t>API-FETCH-METADATA-010</t>
  </si>
  <si>
    <t>Expired JWT token</t>
  </si>
  <si>
    <t>Expired Token</t>
  </si>
  <si>
    <t>/v1/admin/permissions/list</t>
  </si>
  <si>
    <t>API-GET-DOCUMENT-003</t>
  </si>
  <si>
    <t>Admin authenticated</t>
  </si>
  <si>
    <t xml:space="preserve">Verify that the response  contain file ulid and file path </t>
  </si>
  <si>
    <t>Status Code "200 OK", returns permission list grouped by model</t>
  </si>
  <si>
    <t>list of permission is displayed as expected</t>
  </si>
  <si>
    <t>Token expiry</t>
  </si>
  <si>
    <t>API-FETCH-METADATA-011</t>
  </si>
  <si>
    <t xml:space="preserve">user logged in an , user with ulid exist and document also exist </t>
  </si>
  <si>
    <t>Role-based access control</t>
  </si>
  <si>
    <t>Status Code "200 OK" and response contains file ulid and file path</t>
  </si>
  <si>
    <t>(TS-007) Log &amp; Audit Functionality</t>
  </si>
  <si>
    <t>Limited role token</t>
  </si>
  <si>
    <t>Role restrictions applied</t>
  </si>
  <si>
    <t>Status Code "403 Forbidden" with proper message (If Restricted)</t>
  </si>
  <si>
    <t>API-ADMIN-PERM-LIST-002</t>
  </si>
  <si>
    <t>Validate the working of Log &amp; Audit Functionality</t>
  </si>
  <si>
    <t>Not tested</t>
  </si>
  <si>
    <t>API-GET-DOCUMENT-004</t>
  </si>
  <si>
    <t>Authorization</t>
  </si>
  <si>
    <t>Verify that the file path is correct and file is available</t>
  </si>
  <si>
    <t>API-FETCH-METADATA-012</t>
  </si>
  <si>
    <t>Response contains model keys (checklist, department, user)</t>
  </si>
  <si>
    <t>Response contains different model keys as expected</t>
  </si>
  <si>
    <t>Response time under normal load</t>
  </si>
  <si>
    <t xml:space="preserve">user logged in an , user with ulid exist and file also exist </t>
  </si>
  <si>
    <t>File path is correct and file is avilabe at that url</t>
  </si>
  <si>
    <t>Normal system load</t>
  </si>
  <si>
    <t>Response ≤ 2 seconds</t>
  </si>
  <si>
    <t>API-ADMIN-PERM-LIST-003</t>
  </si>
  <si>
    <t>Validate permission object structure</t>
  </si>
  <si>
    <t>Each permission contains id (integer) and action (string)</t>
  </si>
  <si>
    <t>Data type validation</t>
  </si>
  <si>
    <t>API-ADMIN-PERM-LIST-004</t>
  </si>
  <si>
    <t>Validate multiple actions per model</t>
  </si>
  <si>
    <t>API-GET-DOCUMENT-005</t>
  </si>
  <si>
    <t>Verify unauthorized access</t>
  </si>
  <si>
    <t>Multiple permissions exist</t>
  </si>
  <si>
    <t>No token, valid ulid of user</t>
  </si>
  <si>
    <t>Returns all actions (create, update, delete, view, etc.)</t>
  </si>
  <si>
    <t>1. Send GET request without authentication header</t>
  </si>
  <si>
    <t>(TS-008) Suspicious Activity Detection Functionality</t>
  </si>
  <si>
    <t xml:space="preserve">Status Code "401 Unauthorized" with Unauthenticated message </t>
  </si>
  <si>
    <t>Coverage check</t>
  </si>
  <si>
    <t>API-ADMIN-PERM-LIST-005</t>
  </si>
  <si>
    <t>Validate the working of Suspicious Activity Detection Functionality</t>
  </si>
  <si>
    <t>Access without authentication</t>
  </si>
  <si>
    <t>API-GET-DOCUMENT-006</t>
  </si>
  <si>
    <t>User not logged in</t>
  </si>
  <si>
    <t>Verify access with invalid token</t>
  </si>
  <si>
    <t>Unauthenticated message displayed</t>
  </si>
  <si>
    <t>Security</t>
  </si>
  <si>
    <t>API-ADMIN-PERM-LIST-006</t>
  </si>
  <si>
    <t>Expired token, valid ulid</t>
  </si>
  <si>
    <t>Access with non-admin role</t>
  </si>
  <si>
    <t>User exists</t>
  </si>
  <si>
    <t>1. Send GET with expired token</t>
  </si>
  <si>
    <t>Logged in as normal user</t>
  </si>
  <si>
    <t>Status Code "403 Forbidden" with  proper messge</t>
  </si>
  <si>
    <t>RBAC validation</t>
  </si>
  <si>
    <t>API-GET-DOCUMENT-007</t>
  </si>
  <si>
    <t>API-ADMIN-PERM-LIST-007</t>
  </si>
  <si>
    <t>Verify access with expired token</t>
  </si>
  <si>
    <t>Invalid HTTP method</t>
  </si>
  <si>
    <t>POST</t>
  </si>
  <si>
    <t>Invalid token, valid ulid</t>
  </si>
  <si>
    <t>None</t>
  </si>
  <si>
    <t>1. Send GET with invalid token</t>
  </si>
  <si>
    <t>Send POST request</t>
  </si>
  <si>
    <t>Status Code "405 Method Not Allowed" with proper message</t>
  </si>
  <si>
    <t>500 Internal Server Error message displayed</t>
  </si>
  <si>
    <t>Method validation</t>
  </si>
  <si>
    <t>(TS-009) API Functionality</t>
  </si>
  <si>
    <t>API-GET-DOCUMENT-008</t>
  </si>
  <si>
    <t>API-ADMIN-PERM-LIST-008</t>
  </si>
  <si>
    <t>Access with expired token</t>
  </si>
  <si>
    <t>Verify access with insufficient role</t>
  </si>
  <si>
    <t>Validate the working of API Functionality</t>
  </si>
  <si>
    <t>Token expired</t>
  </si>
  <si>
    <t>Valid token (different user), valid ulid</t>
  </si>
  <si>
    <t>Logged in as another user</t>
  </si>
  <si>
    <t>1. Send GET request</t>
  </si>
  <si>
    <t>Status Code "403 Forbidden" with Proper Message</t>
  </si>
  <si>
    <t>API-ADMIN-PERM-LIST-009</t>
  </si>
  <si>
    <t>Access with tampered JWT</t>
  </si>
  <si>
    <t>SLA check</t>
  </si>
  <si>
    <t>API-FETCH-METADATA-013</t>
  </si>
  <si>
    <t>Invalid token</t>
  </si>
  <si>
    <t>Response under high load</t>
  </si>
  <si>
    <t>API-GET-DOCUMENT-009</t>
  </si>
  <si>
    <t>100+ concurrent users</t>
  </si>
  <si>
    <t>Execute load test</t>
  </si>
  <si>
    <t>No timeout, stable response</t>
  </si>
  <si>
    <t>Verify behaviour when ulid does not exist</t>
  </si>
  <si>
    <t>JWT integrity</t>
  </si>
  <si>
    <t>API-ADMIN-PERM-LIST-010</t>
  </si>
  <si>
    <t>IDOR validation</t>
  </si>
  <si>
    <t>Valid token, non-existing ulid</t>
  </si>
  <si>
    <t>Logged in</t>
  </si>
  <si>
    <t>Load testing</t>
  </si>
  <si>
    <t>1. Send GET with random ulid</t>
  </si>
  <si>
    <t>Different organization admin</t>
  </si>
  <si>
    <t>API-FETCH-METADATA-014</t>
  </si>
  <si>
    <t xml:space="preserve">Status Code "404 Not Found" with Proper Message </t>
  </si>
  <si>
    <t>Only permissions for authorized scope returned</t>
  </si>
  <si>
    <t>Database failure handling</t>
  </si>
  <si>
    <t>DB unavailable</t>
  </si>
  <si>
    <t>Status Code "500 Internal Server Error"</t>
  </si>
  <si>
    <t>Data isolation</t>
  </si>
  <si>
    <t>API-ADMIN-PERM-LIST-011</t>
  </si>
  <si>
    <t>API-GET-DOCUMENT-010</t>
  </si>
  <si>
    <t>Response time validation</t>
  </si>
  <si>
    <t>Verify when ulid parameter is empty</t>
  </si>
  <si>
    <t>Error handling</t>
  </si>
  <si>
    <t>System under normal load</t>
  </si>
  <si>
    <t>Valid token, empty ulid</t>
  </si>
  <si>
    <t>API-FETCH-METADATA-015</t>
  </si>
  <si>
    <t>Response within SLA (≤2 sec)</t>
  </si>
  <si>
    <t>1. Send GET without ulid</t>
  </si>
  <si>
    <t>Validate no duplicate values in arrays</t>
  </si>
  <si>
    <t xml:space="preserve">Status Code "404 Not Found" with proper message </t>
  </si>
  <si>
    <t>Metadata configured</t>
  </si>
  <si>
    <t>No duplicate "value" fields</t>
  </si>
  <si>
    <t>Performance</t>
  </si>
  <si>
    <t>API-ADMIN-PERM-LIST-012</t>
  </si>
  <si>
    <t>Server failure handling</t>
  </si>
  <si>
    <t>Data consistency</t>
  </si>
  <si>
    <t>DB/service unavailable</t>
  </si>
  <si>
    <t>API-GET-DOCUMENT-011</t>
  </si>
  <si>
    <t>Verify response contains correct ULID</t>
  </si>
  <si>
    <t>Status Code "500 Internal Server Error" With Proper Message</t>
  </si>
  <si>
    <t>Valid token, valid ulid</t>
  </si>
  <si>
    <t>User + document exists</t>
  </si>
  <si>
    <t>Response ULID matches requested ULID</t>
  </si>
  <si>
    <t>API-ADMIN-PERM-LIST-013</t>
  </si>
  <si>
    <t>Ensure no duplicate permission IDs</t>
  </si>
  <si>
    <t>No duplicate IDs within same model</t>
  </si>
  <si>
    <t xml:space="preserve"> </t>
  </si>
  <si>
    <t>API-ADMIN-PERM-LIST-014</t>
  </si>
  <si>
    <t>Large number of permissions</t>
  </si>
  <si>
    <t>1000+ permissions exist</t>
  </si>
  <si>
    <t>API returns complete list without truncation</t>
  </si>
  <si>
    <t>API-GET-DOCUMENT-012</t>
  </si>
  <si>
    <t>Verify file object structure</t>
  </si>
  <si>
    <t>Scalability</t>
  </si>
  <si>
    <t>Valid token</t>
  </si>
  <si>
    <t>Assign Permissions To An Existing Role</t>
  </si>
  <si>
    <t>Document exists</t>
  </si>
  <si>
    <t>Response contains file.ulid and file.filePath</t>
  </si>
  <si>
    <t>API-ADMIN-ASSIGN-PERM-015</t>
  </si>
  <si>
    <t>API-GET-DOCUMENT-013</t>
  </si>
  <si>
    <t>Verify file path is accessible</t>
  </si>
  <si>
    <t>File exists</t>
  </si>
  <si>
    <t>1. Send GET 
2. Open filePath URL</t>
  </si>
  <si>
    <t>File loads successfully (200 OK)</t>
  </si>
  <si>
    <t>Assign permission to existing role</t>
  </si>
  <si>
    <t>API-GET-DOCUMENT-014</t>
  </si>
  <si>
    <t>Verify response time is under normal load</t>
  </si>
  <si>
    <t>/v1/admin/roles/permissions</t>
  </si>
  <si>
    <t>role="manager", permissionIds=[1]</t>
  </si>
  <si>
    <t>Admin authenticated, role exists</t>
  </si>
  <si>
    <t>System running normally</t>
  </si>
  <si>
    <t>Send POST request with valid payload</t>
  </si>
  <si>
    <t>Response time &lt; 2 seconds</t>
  </si>
  <si>
    <t>Status Code "200 OK", response contains name, permissions_count, and permissions grouped by model</t>
  </si>
  <si>
    <t>Status 200 OK returned with expected response</t>
  </si>
  <si>
    <t>API-ADMIN-ASSIGN-PERM-016</t>
  </si>
  <si>
    <t>API-GET-DOCUMENT-015</t>
  </si>
  <si>
    <t>Assign multiple permissions</t>
  </si>
  <si>
    <t>Verify response header content-type</t>
  </si>
  <si>
    <t>permissionIds=[1,5,7]</t>
  </si>
  <si>
    <t>Role exists</t>
  </si>
  <si>
    <t>All permissions reflected in response</t>
  </si>
  <si>
    <t>All assigned permission displayed successfully in response body</t>
  </si>
  <si>
    <t>Content-Type: application/json</t>
  </si>
  <si>
    <t>Multiple entries</t>
  </si>
  <si>
    <t>API-ADMIN-ASSIGN-PERM-017</t>
  </si>
  <si>
    <t>Validate permissions_count accuracy</t>
  </si>
  <si>
    <t>Valid payload</t>
  </si>
  <si>
    <t>Update an existing document</t>
  </si>
  <si>
    <t>permissions_count equals total assigned permissions</t>
  </si>
  <si>
    <t>Permission count is accurate</t>
  </si>
  <si>
    <t>Data validation</t>
  </si>
  <si>
    <t>API-ADMIN-ASSIGN-PERM-018</t>
  </si>
  <si>
    <t>Validate response schema</t>
  </si>
  <si>
    <t>API-UPDATE-DOCUMENT-016</t>
  </si>
  <si>
    <t>Update the documents with all valid files</t>
  </si>
  <si>
    <t>PUT</t>
  </si>
  <si>
    <t>Response contains name, permissions_count, permissions object</t>
  </si>
  <si>
    <t>/v1/documents/:user</t>
  </si>
  <si>
    <t>Valid body request with citizenshipNo, citizenshipFront, citizenshipBack, panNo, pan, resume and certificates</t>
  </si>
  <si>
    <t>1. Call API with valid ULID and all valid file ULIDs</t>
  </si>
  <si>
    <t>Status Code "200 OK"</t>
  </si>
  <si>
    <t>API-ADMIN-ASSIGN-PERM-019</t>
  </si>
  <si>
    <t>Missing role field</t>
  </si>
  <si>
    <t>permissionIds=[1]</t>
  </si>
  <si>
    <t>Send request without role</t>
  </si>
  <si>
    <t>Validation error message must be displayed</t>
  </si>
  <si>
    <t>422 validation error is displayed</t>
  </si>
  <si>
    <t>API-UPDATE-DOCUMENT-017</t>
  </si>
  <si>
    <t>Required field</t>
  </si>
  <si>
    <t>Update documents without authorization token</t>
  </si>
  <si>
    <t>API-ADMIN-ASSIGN-PERM-020</t>
  </si>
  <si>
    <t>Missing permissionIds field</t>
  </si>
  <si>
    <t>role="manager"</t>
  </si>
  <si>
    <t>Send request without permissionIds</t>
  </si>
  <si>
    <t>API-ADMIN-ASSIGN-PERM-021</t>
  </si>
  <si>
    <t>Empty permissionIds array</t>
  </si>
  <si>
    <t>Same as valid</t>
  </si>
  <si>
    <t>permissionIds=[]</t>
  </si>
  <si>
    <t>1. Call API without Auth token</t>
  </si>
  <si>
    <t>Validation error for mandatory field is displayed</t>
  </si>
  <si>
    <t>Boundary case</t>
  </si>
  <si>
    <t>API-ADMIN-ASSIGN-PERM-022</t>
  </si>
  <si>
    <t>Invalid role name</t>
  </si>
  <si>
    <t>API-UPDATE-DOCUMENT-018</t>
  </si>
  <si>
    <t>role="invalidRole"</t>
  </si>
  <si>
    <t>Update documents without ULID parameter</t>
  </si>
  <si>
    <t>Status Code "422
Unprocessable Entity"</t>
  </si>
  <si>
    <t>Role validation</t>
  </si>
  <si>
    <t>API-ADMIN-ASSIGN-PERM-023</t>
  </si>
  <si>
    <t>1. Call API endpoint without ULID in URL</t>
  </si>
  <si>
    <t>Invalid permission ID</t>
  </si>
  <si>
    <t>permissionIds=[999]</t>
  </si>
  <si>
    <t>Permission validation</t>
  </si>
  <si>
    <t>API-ADMIN-ASSIGN-PERM-024</t>
  </si>
  <si>
    <t>API-UPDATE-DOCUMENT-019</t>
  </si>
  <si>
    <t>Duplicate permission IDs</t>
  </si>
  <si>
    <t>Update document for non-existent user</t>
  </si>
  <si>
    <t>permissionIds=[1,1]</t>
  </si>
  <si>
    <t>Duplicate ignored or validation error</t>
  </si>
  <si>
    <t>Duplicate ignored as expected</t>
  </si>
  <si>
    <t>Data integrity</t>
  </si>
  <si>
    <t>API-ADMIN-ASSIGN-PERM-025</t>
  </si>
  <si>
    <t>Without authentication</t>
  </si>
  <si>
    <t>ULID does not exist in system</t>
  </si>
  <si>
    <t>1. Call API with ULID that does not exist</t>
  </si>
  <si>
    <t>Status Code "401 Unauthorized"</t>
  </si>
  <si>
    <t>API-ADMIN-ASSIGN-PERM-026</t>
  </si>
  <si>
    <t>Without admin permission</t>
  </si>
  <si>
    <t>API-UPDATE-DOCUMENT-020</t>
  </si>
  <si>
    <t>Update document with invalid ULID</t>
  </si>
  <si>
    <t xml:space="preserve">Status Code "403 Forbidden" </t>
  </si>
  <si>
    <t>Show An Existing Checklist</t>
  </si>
  <si>
    <t>-</t>
  </si>
  <si>
    <t>1. Call API with ULID = "1234-invalid"</t>
  </si>
  <si>
    <t>Status Code "422 Unprocessable Entity" with Proper Message</t>
  </si>
  <si>
    <t>RBAC</t>
  </si>
  <si>
    <t>API-ADMIN-ASSIGN-PERM-027</t>
  </si>
  <si>
    <t>Expired token</t>
  </si>
  <si>
    <t>API-GET-CHECKLIST-ID-001</t>
  </si>
  <si>
    <t>Retrieve checklist with valid ULID</t>
  </si>
  <si>
    <t>API-UPDATE-DOCUMENT-021</t>
  </si>
  <si>
    <t>Update document with missing citizenshipNo</t>
  </si>
  <si>
    <t>API-ADMIN-ASSIGN-PERM-028</t>
  </si>
  <si>
    <t>/v1/checklists/{checklist}</t>
  </si>
  <si>
    <t>{ 
"citizenshipFront": "...", 
"citizenshipBack": "...", 
"panNo": "PAN-987654", 
"pan": "...", 
"resume": "...",
 "certificates": ["..."] 
}</t>
  </si>
  <si>
    <t>checklist = valid ULID</t>
  </si>
  <si>
    <t>Tampered JWT token</t>
  </si>
  <si>
    <t>Checklist exists, user authenticated</t>
  </si>
  <si>
    <t>1. Call API without citizenshipNo</t>
  </si>
  <si>
    <t>1. Send GET request with valid ULID</t>
  </si>
  <si>
    <t>Status Code "200 OK", response contains ulid, name, type</t>
  </si>
  <si>
    <t>Checklist matched with ULID is returned</t>
  </si>
  <si>
    <t>API-UPDATE-DOCUMENT-022</t>
  </si>
  <si>
    <t>API-ADMIN-ASSIGN-PERM-029</t>
  </si>
  <si>
    <t>Update only PAN and PanNo</t>
  </si>
  <si>
    <t>IDOR attempt (other organization role)</t>
  </si>
  <si>
    <t>{ 
"panNo": "PAN-111111", 
"pan": "01KGEEPAEYH130EG4ZH4SJKZQ9" 
}</t>
  </si>
  <si>
    <t>Role from another org</t>
  </si>
  <si>
    <t>Multi-tenant system</t>
  </si>
  <si>
    <t>1. Call API with only PAN fields</t>
  </si>
  <si>
    <t>Critical</t>
  </si>
  <si>
    <t>API-ADMIN-ASSIGN-PERM-030</t>
  </si>
  <si>
    <t>1000+ permissionIds</t>
  </si>
  <si>
    <t>API-UPDATE-DOCUMENT-023</t>
  </si>
  <si>
    <t>Update document without a body</t>
  </si>
  <si>
    <t>Processed successfully within SLA</t>
  </si>
  <si>
    <t>{}</t>
  </si>
  <si>
    <t>1. Call API with empty body</t>
  </si>
  <si>
    <t>API-ADMIN-ASSIGN-PERM-031</t>
  </si>
  <si>
    <t>SLA validation</t>
  </si>
  <si>
    <t>Add Document</t>
  </si>
  <si>
    <t>API-ADMIN-ASSIGN-PERM-032</t>
  </si>
  <si>
    <t>API-ADMIN-ASSIGN-PERM-033</t>
  </si>
  <si>
    <t>Verify permissions after assignment</t>
  </si>
  <si>
    <t>API-UPLOAD-DOCUMENT-024</t>
  </si>
  <si>
    <t>/v1/admin/roles/{role}/permissions</t>
  </si>
  <si>
    <t>Add documents with valid bank details and documents</t>
  </si>
  <si>
    <t>/v1/documents/upload</t>
  </si>
  <si>
    <t>Permissions assigned</t>
  </si>
  <si>
    <t>Valid bank details and required documents</t>
  </si>
  <si>
    <t>Retrieve permissions</t>
  </si>
  <si>
    <t>Authenicated user logged in</t>
  </si>
  <si>
    <t>Assigned permissions visible in response</t>
  </si>
  <si>
    <t>1. Call API with valid body and valid token 
2. Capture response body</t>
  </si>
  <si>
    <t>Assigned permission is visible in response body</t>
  </si>
  <si>
    <t>Status Code "200 OK" , document added successfully</t>
  </si>
  <si>
    <t>Post-condition validation</t>
  </si>
  <si>
    <t>API-UPLOAD-DOCUMENT-025</t>
  </si>
  <si>
    <t>Add document without authorization token</t>
  </si>
  <si>
    <t>No token</t>
  </si>
  <si>
    <t>1. Call API without auth token</t>
  </si>
  <si>
    <t xml:space="preserve">Status Code "401 Unauthorized" with Unauthenrticated message </t>
  </si>
  <si>
    <t>API-UPLOAD-DOCUMENT-026</t>
  </si>
  <si>
    <t>Add document with sufficient permissions</t>
  </si>
  <si>
    <t>Authenticated user without permission</t>
  </si>
  <si>
    <t>1. Call API with token that does not have access</t>
  </si>
  <si>
    <t>API-UPLOAD-DOCUMENT-027</t>
  </si>
  <si>
    <t>Add document with missing bank details</t>
  </si>
  <si>
    <t>bankdetails: {empty}</t>
  </si>
  <si>
    <t>Authenticated user logged in</t>
  </si>
  <si>
    <t>1. Call API without bankDetails</t>
  </si>
  <si>
    <t>Status Code "422 Unprocessable Entity" with proper message</t>
  </si>
  <si>
    <t>API-UPLOAD-DOCUMENT-028</t>
  </si>
  <si>
    <t>Add document with missing mandatory document field</t>
  </si>
  <si>
    <t>1. Call API without citizenshipNo or panNo</t>
  </si>
  <si>
    <t>API-UPLOAD-DOCUMENT-029</t>
  </si>
  <si>
    <t>Add document with empty body</t>
  </si>
  <si>
    <t>documents:{empty}</t>
  </si>
  <si>
    <t>1. Call API with empty JSON body</t>
  </si>
  <si>
    <t>API-UPLOAD-DOCUMENT-030</t>
  </si>
  <si>
    <t>Validate bank details object in response</t>
  </si>
  <si>
    <t>1. Call API 
2. Capture response and validate all keys</t>
  </si>
  <si>
    <t>All bankDetails fields exist and correct</t>
  </si>
  <si>
    <t>API-UPLOAD-DOCUMENT-031</t>
  </si>
  <si>
    <t>Validate documents array in response</t>
  </si>
  <si>
    <t>1. Call API 
2. Verify documents array structure and keys</t>
  </si>
  <si>
    <t>Each document has ulid, type, documentNo, file.ulid, file.filePath</t>
  </si>
  <si>
    <t>API-GET-CHECKLIST-ID-002</t>
  </si>
  <si>
    <t>Retrieve non-existing checklist</t>
  </si>
  <si>
    <t>checklist = non-existing ULID</t>
  </si>
  <si>
    <t>User authenticated</t>
  </si>
  <si>
    <t>Status Code "404 Not Found", checklist not found</t>
  </si>
  <si>
    <t>Checklist not found</t>
  </si>
  <si>
    <t>Negative test</t>
  </si>
  <si>
    <t>API-GET-CHECKLIST-ID-003</t>
  </si>
  <si>
    <t>Retrieve checklist with invalid ULID format</t>
  </si>
  <si>
    <t>checklist = %4%%4%</t>
  </si>
  <si>
    <t>Status Code "400 Bad Request", invalid ULID format</t>
  </si>
  <si>
    <t>Bad request response returned</t>
  </si>
  <si>
    <t>Validation</t>
  </si>
  <si>
    <t>API-GET-CHECKLIST-ID-004</t>
  </si>
  <si>
    <t>Retrieve checklist without authentication</t>
  </si>
  <si>
    <t>User not authenticated</t>
  </si>
  <si>
    <t>Unauthorized returned</t>
  </si>
  <si>
    <t>API-GET-CHECKLIST-ID-005</t>
  </si>
  <si>
    <t>Retrieve checklist without permission</t>
  </si>
  <si>
    <t>User lacks permission</t>
  </si>
  <si>
    <t xml:space="preserve">Status Code "403 Forbidden" with proper message </t>
  </si>
  <si>
    <t>API-GET-CHECKLIST-ID-006</t>
  </si>
  <si>
    <t>Verify response schema</t>
  </si>
  <si>
    <t>Checklist exists</t>
  </si>
  <si>
    <t>Response matches schema (ulid, name, type)</t>
  </si>
  <si>
    <t>Show All Existing Department</t>
  </si>
  <si>
    <t>API-GET-CHECKLIST-ID-007</t>
  </si>
  <si>
    <t>Verify data accuracy</t>
  </si>
  <si>
    <t>Response values match DB records</t>
  </si>
  <si>
    <t>API-FETCH-ALL -DEPT-001</t>
  </si>
  <si>
    <t>Fetch list of all departments successfully</t>
  </si>
  <si>
    <t>API-GET-CHECKLIST-ID-008</t>
  </si>
  <si>
    <t>Content-Type header validation</t>
  </si>
  <si>
    <t>valid ULID</t>
  </si>
  <si>
    <t>Header validation</t>
  </si>
  <si>
    <t>API-GET-CHECKLIST-ID-009</t>
  </si>
  <si>
    <t>Server error handling</t>
  </si>
  <si>
    <t>/v1/departments/list</t>
  </si>
  <si>
    <t>Valid auth token</t>
  </si>
  <si>
    <t>DB/service down</t>
  </si>
  <si>
    <t>200 OK, list of departments returned</t>
  </si>
  <si>
    <t>All list of departments are displyed</t>
  </si>
  <si>
    <t>Internal server error message displayed</t>
  </si>
  <si>
    <t>Reliability</t>
  </si>
  <si>
    <t>Show All Exisitng Checklist</t>
  </si>
  <si>
    <t>API-FETCH-ALL -DEPT-002</t>
  </si>
  <si>
    <t>API-GET-ALL-CHECKLIST-001</t>
  </si>
  <si>
    <t>Validate department response schema</t>
  </si>
  <si>
    <t>Retrieve all checklists successfully</t>
  </si>
  <si>
    <t>v1/checklists/list</t>
  </si>
  <si>
    <t>Each department contains ulid and name</t>
  </si>
  <si>
    <t>User authenticated, checklists exist</t>
  </si>
  <si>
    <t>200 OK, list of checklists returned</t>
  </si>
  <si>
    <t>All checklist are returned successfully</t>
  </si>
  <si>
    <t>API-FETCH-ALL -DEPT-003</t>
  </si>
  <si>
    <t>Verify ULID format</t>
  </si>
  <si>
    <t>API-GET-ALL-CHECKLIST-002</t>
  </si>
  <si>
    <t>Verify response structure</t>
  </si>
  <si>
    <t>ulid is non-empty and valid string</t>
  </si>
  <si>
    <t>Checklists exist</t>
  </si>
  <si>
    <t>Each checklist contains ulid, name, type</t>
  </si>
  <si>
    <t>API-GET-ALL-CHECKLIST-003</t>
  </si>
  <si>
    <t>API-FETCH-ALL -DEPT-004</t>
  </si>
  <si>
    <t>Retrieve checklist list when no records exist</t>
  </si>
  <si>
    <t>Verify department name is not null</t>
  </si>
  <si>
    <t>No checklist available</t>
  </si>
  <si>
    <t>200 OK, empty list returned</t>
  </si>
  <si>
    <t>Empty list exists</t>
  </si>
  <si>
    <t>name is non-empty string</t>
  </si>
  <si>
    <t>API-GET-ALL-CHECKLIST-004</t>
  </si>
  <si>
    <t>Retrieve checklist list without authentication</t>
  </si>
  <si>
    <t>API-FETCH-ALL -DEPT-005</t>
  </si>
  <si>
    <t>401 Unauthorized</t>
  </si>
  <si>
    <t>Unauhorized message displayed</t>
  </si>
  <si>
    <t>Fetch departments without authentication</t>
  </si>
  <si>
    <t>API-GET-ALL-CHECKLIST-005</t>
  </si>
  <si>
    <t>Unauthorized message returned</t>
  </si>
  <si>
    <t>Retrieve checklist list without permission</t>
  </si>
  <si>
    <t>403 Forbidden</t>
  </si>
  <si>
    <t>API-FETCH-ALL -DEPT-006</t>
  </si>
  <si>
    <t>Fetch departments with invalid token</t>
  </si>
  <si>
    <t>API-GET-ALL-CHECKLIST-006</t>
  </si>
  <si>
    <t>Performance – response time</t>
  </si>
  <si>
    <t>Large number of records</t>
  </si>
  <si>
    <t>Response within SLA</t>
  </si>
  <si>
    <t>API-FETCH-ALL -DEPT-007</t>
  </si>
  <si>
    <t>Fetch departments with insufficient permission</t>
  </si>
  <si>
    <t>API-GET-ALL-CHECKLIST-007</t>
  </si>
  <si>
    <t>Content-Type validation</t>
  </si>
  <si>
    <t>Valid token, no permission</t>
  </si>
  <si>
    <t>API-FETCH-ALL -DEPT-008</t>
  </si>
  <si>
    <t>API-GET-ALL-CHECKLIST-008</t>
  </si>
  <si>
    <t>No departments exist in system</t>
  </si>
  <si>
    <t>Valid token, empty DB</t>
  </si>
  <si>
    <t>404 Not Found</t>
  </si>
  <si>
    <t>500 Internal Server Error</t>
  </si>
  <si>
    <t>API-FETCH-ALL -DEPT-009</t>
  </si>
  <si>
    <t>Verify response type is array</t>
  </si>
  <si>
    <t>Response is an array of objects</t>
  </si>
  <si>
    <t>Response type is array</t>
  </si>
  <si>
    <t>Add A Checklist</t>
  </si>
  <si>
    <t>API-FETCH-ALL -DEPT-010</t>
  </si>
  <si>
    <t>Verify response content type</t>
  </si>
  <si>
    <t>API-ADD-CHECKLIST-001</t>
  </si>
  <si>
    <t>Add checklist with valid data</t>
  </si>
  <si>
    <t>Content-Type is application/json</t>
  </si>
  <si>
    <t>/v1/checklists</t>
  </si>
  <si>
    <t>name = "Laptop Request", type = 1</t>
  </si>
  <si>
    <t>API-FETCH-ALL -DEPT-011</t>
  </si>
  <si>
    <t>Verify duplicate department entries are not returned</t>
  </si>
  <si>
    <t>No duplicate ulid values</t>
  </si>
  <si>
    <t>Status Code "201 Created", checklist created and response contains ulid, name, type</t>
  </si>
  <si>
    <t>New checklist added successfully</t>
  </si>
  <si>
    <t>API-FETCH-ALL -DEPT-012</t>
  </si>
  <si>
    <t>Performance check for department list</t>
  </si>
  <si>
    <t>Response within acceptable time</t>
  </si>
  <si>
    <t>Get Department</t>
  </si>
  <si>
    <t>API-ADD-CHECKLIST-002</t>
  </si>
  <si>
    <t>Add checklist with missing name</t>
  </si>
  <si>
    <t>type = 1</t>
  </si>
  <si>
    <t>API-GET-DEPART-013</t>
  </si>
  <si>
    <t>Send POST request without name</t>
  </si>
  <si>
    <t>Status Code "422 Unprocessable Entity" with validation error for name</t>
  </si>
  <si>
    <t>Fetch department with valid page,perPage, and name</t>
  </si>
  <si>
    <t>Validation error displayed as expected</t>
  </si>
  <si>
    <t>/v1/departments</t>
  </si>
  <si>
    <t>page=1, per_page=2, name=HR</t>
  </si>
  <si>
    <t>API-ADD-CHECKLIST-003</t>
  </si>
  <si>
    <t>200 OK, returns department matching name</t>
  </si>
  <si>
    <t>Add checklist with missing type</t>
  </si>
  <si>
    <t>Mathing department returned with correct pagination</t>
  </si>
  <si>
    <t>name = "Laptop Request"</t>
  </si>
  <si>
    <t>Send POST request without type</t>
  </si>
  <si>
    <t>Status Code "422 Unprocessable Entity" with validation error for type</t>
  </si>
  <si>
    <t>API-GET-DEPART-014</t>
  </si>
  <si>
    <t>Fetch department with valid name only</t>
  </si>
  <si>
    <t>API-ADD-CHECKLIST-004</t>
  </si>
  <si>
    <t>Add checklist with invalid type value</t>
  </si>
  <si>
    <t>name=HR</t>
  </si>
  <si>
    <t>200 OK, returns all matching departments</t>
  </si>
  <si>
    <t>name="Laptop Request", type=99</t>
  </si>
  <si>
    <t>Send POST request with invalid type</t>
  </si>
  <si>
    <t>Status Code "400 Bad Request", invalid type error</t>
  </si>
  <si>
    <t>Invalid type error displayed</t>
  </si>
  <si>
    <t>API-GET-DEPART-015</t>
  </si>
  <si>
    <t>fetch department with department only</t>
  </si>
  <si>
    <t>page=1, per_page=2</t>
  </si>
  <si>
    <t>200 OK, first 2 departments returned</t>
  </si>
  <si>
    <t>First 2 departments returned</t>
  </si>
  <si>
    <t>API-GET-DEPART-016</t>
  </si>
  <si>
    <t>Fetch department with non-existing name</t>
  </si>
  <si>
    <t>name=NonExist</t>
  </si>
  <si>
    <t>Enum validation</t>
  </si>
  <si>
    <t>API-GET-DEPART-017</t>
  </si>
  <si>
    <t>API-ADD-CHECKLIST-005</t>
  </si>
  <si>
    <t>Fetch department with page beyond last</t>
  </si>
  <si>
    <t>Add checklist with duplicate name</t>
  </si>
  <si>
    <t>page=99, per_page=2, name=HR</t>
  </si>
  <si>
    <t>404 Not Found or empty array</t>
  </si>
  <si>
    <t>name = existing checklist</t>
  </si>
  <si>
    <t>Empty array returned</t>
  </si>
  <si>
    <t>Checklist already exists</t>
  </si>
  <si>
    <t>Status Code "409 Conflict", duplicate checklist error</t>
  </si>
  <si>
    <t>Duplicate checklist error displayed as expected</t>
  </si>
  <si>
    <t>API-GET-DEPART-018</t>
  </si>
  <si>
    <t>Fetch department without authorization</t>
  </si>
  <si>
    <t>API-GET-DEPART-019</t>
  </si>
  <si>
    <t>Fetch department with invalid token</t>
  </si>
  <si>
    <t>API-GET-DEPART-020</t>
  </si>
  <si>
    <t>Fetch department with insufficient permission</t>
  </si>
  <si>
    <t>API-GET-DEPART-021</t>
  </si>
  <si>
    <t>Fetch department with page=0</t>
  </si>
  <si>
    <t>page=0, per_page=2, name=HR</t>
  </si>
  <si>
    <t>422 Unprocessable Entity or treated as 1</t>
  </si>
  <si>
    <t>Initial page returned</t>
  </si>
  <si>
    <t>API-GET-DEPART-022</t>
  </si>
  <si>
    <t>Fetch department with perPage=0</t>
  </si>
  <si>
    <t>page=1, per_page=0, name=HR</t>
  </si>
  <si>
    <t>422 Unprocessable Entity</t>
  </si>
  <si>
    <t>API-GET-DEPART-023</t>
  </si>
  <si>
    <t>Fetch department with negative page</t>
  </si>
  <si>
    <t>page=-1, per_page=2, name=HR</t>
  </si>
  <si>
    <t>Uniqueness check</t>
  </si>
  <si>
    <t>API-GET-DEPART-024</t>
  </si>
  <si>
    <t>API-ADD-CHECKLIST-006</t>
  </si>
  <si>
    <t>Fetch department with special characters in name</t>
  </si>
  <si>
    <t>Add checklist with empty payload</t>
  </si>
  <si>
    <t>name=@HR!</t>
  </si>
  <si>
    <t>404 Not Found or sanitized response</t>
  </si>
  <si>
    <t>Not Found returned</t>
  </si>
  <si>
    <t>API-GET-DEPART-025</t>
  </si>
  <si>
    <t>Fetch department with non-numeric page/perPage</t>
  </si>
  <si>
    <t>page=abc, per_page=xyz</t>
  </si>
  <si>
    <t>Send POST request with empty payload</t>
  </si>
  <si>
    <t>Negative case</t>
  </si>
  <si>
    <t>API-GET-DEPART-026</t>
  </si>
  <si>
    <t>Verify Content-Type header</t>
  </si>
  <si>
    <t>Content-Type = application/json</t>
  </si>
  <si>
    <t>API-ADD-CHECKLIST-007</t>
  </si>
  <si>
    <t>Add checklist without authentication</t>
  </si>
  <si>
    <t>API-GET-DEPART-027</t>
  </si>
  <si>
    <t>Unaauthorized messgae displayed</t>
  </si>
  <si>
    <t>Performance Check</t>
  </si>
  <si>
    <t>API-ADD-CHECKLIST-008</t>
  </si>
  <si>
    <t>Add checklist without permission</t>
  </si>
  <si>
    <t>Show an existing Department(specific)</t>
  </si>
  <si>
    <t>Status Code "403 Forbidden"</t>
  </si>
  <si>
    <t>API-SHOW-DEPART-028</t>
  </si>
  <si>
    <t>API-ADD-CHECKLIST-009</t>
  </si>
  <si>
    <t>Fetch existing department by valid ULID</t>
  </si>
  <si>
    <t>/v1/departments/:department</t>
  </si>
  <si>
    <t>Checklist created</t>
  </si>
  <si>
    <t>:department=valid ULID</t>
  </si>
  <si>
    <t>Department exists, valid auth token</t>
  </si>
  <si>
    <t>Response contains ulid, name, type</t>
  </si>
  <si>
    <t>Response body contains required objects</t>
  </si>
  <si>
    <t>200 OK, returns department with ulid &amp; name</t>
  </si>
  <si>
    <t>Department's ulid and name is returned as expected</t>
  </si>
  <si>
    <t>API-ADD-CHECKLIST-010</t>
  </si>
  <si>
    <t>Performance – checklist creation time</t>
  </si>
  <si>
    <t>API-SHOW-DEPART-029</t>
  </si>
  <si>
    <t>Fetch department with non-existing ULID</t>
  </si>
  <si>
    <t>:department=invalid ULID</t>
  </si>
  <si>
    <t>API-ADD-CHECKLIST-011</t>
  </si>
  <si>
    <t>API-SHOW-DEPART-030</t>
  </si>
  <si>
    <t>Fetch department without authentication</t>
  </si>
  <si>
    <t>API-SHOW-DEPART-031</t>
  </si>
  <si>
    <t>API-SHOW-DEPART-032</t>
  </si>
  <si>
    <t>Valid token, user not allowed</t>
  </si>
  <si>
    <t>API-SHOW-DEPART-033</t>
  </si>
  <si>
    <t>Fetch department with malformed ULID</t>
  </si>
  <si>
    <t>:department=malformedULID</t>
  </si>
  <si>
    <t>422 Unprocessable Entity OR 404</t>
  </si>
  <si>
    <t>API-SHOW-DEPART-034</t>
  </si>
  <si>
    <t>Department exists</t>
  </si>
  <si>
    <t>Response contains ulid (string) &amp; name (string)</t>
  </si>
  <si>
    <t>API-SHOW-DEPART-035</t>
  </si>
  <si>
    <t>API-SHOW-DEPART-036</t>
  </si>
  <si>
    <t>Performance check</t>
  </si>
  <si>
    <t>Response within acceptable SLA</t>
  </si>
  <si>
    <t>Get Checklist</t>
  </si>
  <si>
    <t>Delete an existing Department</t>
  </si>
  <si>
    <t>API-GET-CHECKLIST-001</t>
  </si>
  <si>
    <t>Retrieve checklist with valid filters</t>
  </si>
  <si>
    <t>page=1, perPage=10, name="", type=1</t>
  </si>
  <si>
    <t>Send GET request with valid query params</t>
  </si>
  <si>
    <t>Status Code "200 OK", filtered checklist list returned</t>
  </si>
  <si>
    <t>All checklist mathed with type 1 is displayed successfully</t>
  </si>
  <si>
    <t>API-DEL-DEPART-037</t>
  </si>
  <si>
    <t>Delete department with valid ULID</t>
  </si>
  <si>
    <t>DELETE</t>
  </si>
  <si>
    <t>/v1/departments/{department}</t>
  </si>
  <si>
    <t>Valid ULID</t>
  </si>
  <si>
    <t>Send DELETE request with valid ULID</t>
  </si>
  <si>
    <t>204 No Content, department deleted successfully</t>
  </si>
  <si>
    <t>Department deleted successfully</t>
  </si>
  <si>
    <t>API-DEL-DEPART-038</t>
  </si>
  <si>
    <t>Verify department is removed from DB</t>
  </si>
  <si>
    <t>Delete department → Fetch same department</t>
  </si>
  <si>
    <t>404 Not Found on fetch</t>
  </si>
  <si>
    <t>Deleted department is removed from database</t>
  </si>
  <si>
    <t>API-DEL-DEPART-039</t>
  </si>
  <si>
    <t>API-GET-CHECKLIST-002</t>
  </si>
  <si>
    <t>Invalid ULID format</t>
  </si>
  <si>
    <t>Retrieve checklist with pagination only</t>
  </si>
  <si>
    <t>Invalid ULID (abc123)</t>
  </si>
  <si>
    <t>Send DELETE request</t>
  </si>
  <si>
    <t>page=1, perPage=10</t>
  </si>
  <si>
    <t>Not found</t>
  </si>
  <si>
    <t>Send GET request with pagination params</t>
  </si>
  <si>
    <t>Status Code "200 OK", paginated results returned</t>
  </si>
  <si>
    <t>ULID validation</t>
  </si>
  <si>
    <t>Pagination</t>
  </si>
  <si>
    <t>API-DEL-DEPART-040</t>
  </si>
  <si>
    <t>API-GET-CHECKLIST-003</t>
  </si>
  <si>
    <t>Non-existing department ULID</t>
  </si>
  <si>
    <t>Filter checklist by name</t>
  </si>
  <si>
    <t>Random ULID</t>
  </si>
  <si>
    <t>name="Laptop"</t>
  </si>
  <si>
    <t>Send GET request with name filter</t>
  </si>
  <si>
    <t>Matching checklists returned</t>
  </si>
  <si>
    <t xml:space="preserve"> Matching checklists are returned</t>
  </si>
  <si>
    <t>Resource validation</t>
  </si>
  <si>
    <t>Search</t>
  </si>
  <si>
    <t>API-GET-CHECKLIST-004</t>
  </si>
  <si>
    <t>API-DEL-DEPART-041</t>
  </si>
  <si>
    <t>Filter checklist by type</t>
  </si>
  <si>
    <t>Empty ULID parameter</t>
  </si>
  <si>
    <t>type=1</t>
  </si>
  <si>
    <t>Empty value</t>
  </si>
  <si>
    <t>Send GET request with type filter</t>
  </si>
  <si>
    <t>Only type=1 checklists returned</t>
  </si>
  <si>
    <t>405 Not Found</t>
  </si>
  <si>
    <t>Enum filter</t>
  </si>
  <si>
    <t>API-GET-CHECKLIST-005</t>
  </si>
  <si>
    <t>Filter checklist with no matching records</t>
  </si>
  <si>
    <t>API-DEL-DEPART-042</t>
  </si>
  <si>
    <t>name="XYZ"</t>
  </si>
  <si>
    <t>Without authentication token</t>
  </si>
  <si>
    <t>Status Code "200 OK" empty list returned</t>
  </si>
  <si>
    <t>API-GET-CHECKLIST-006</t>
  </si>
  <si>
    <t>API-DEL-DEPART-043</t>
  </si>
  <si>
    <t>Tampered/Invalid token</t>
  </si>
  <si>
    <t>Security validation</t>
  </si>
  <si>
    <t>API-DEL-DEPART-044</t>
  </si>
  <si>
    <t>User without delete permission</t>
  </si>
  <si>
    <t>Logged in user without delete rights</t>
  </si>
  <si>
    <t>Role-based access</t>
  </si>
  <si>
    <t>Invalid page number</t>
  </si>
  <si>
    <t>API-DEL-DEPART-045</t>
  </si>
  <si>
    <t>Delete department linked to users</t>
  </si>
  <si>
    <t>page=-1</t>
  </si>
  <si>
    <t>Department assigned to users</t>
  </si>
  <si>
    <t>409 Conflict or validation error</t>
  </si>
  <si>
    <t>Validation error as expected</t>
  </si>
  <si>
    <t>Status Code "400 Bad Request" with proper message stating invalid page</t>
  </si>
  <si>
    <t>Initial page returns</t>
  </si>
  <si>
    <t>Referential integrity</t>
  </si>
  <si>
    <t>Fail</t>
  </si>
  <si>
    <t>API-DEL-DEPART-046</t>
  </si>
  <si>
    <t>Soft delete validation (if applicable)</t>
  </si>
  <si>
    <t>Soft delete enabled</t>
  </si>
  <si>
    <t>API-GET-CHECKLIST-007</t>
  </si>
  <si>
    <t>Record marked inactive, not physically removed</t>
  </si>
  <si>
    <t>Invalid perPage value</t>
  </si>
  <si>
    <t>perPage=0</t>
  </si>
  <si>
    <t>System behavior</t>
  </si>
  <si>
    <t>Status Code "400 Bad Request" with proper message stating invalid perPage</t>
  </si>
  <si>
    <t>API-DEL-DEPART-047</t>
  </si>
  <si>
    <t>API-GET-CHECKLIST-008</t>
  </si>
  <si>
    <t>Normal load</t>
  </si>
  <si>
    <t>Invalid type value</t>
  </si>
  <si>
    <t>type=99</t>
  </si>
  <si>
    <t>Return empty array</t>
  </si>
  <si>
    <t>Empty array returns</t>
  </si>
  <si>
    <t>API-GET-CHECKLIST-009</t>
  </si>
  <si>
    <t>API-DEL-DEPART-048</t>
  </si>
  <si>
    <t>Database failure during deletion</t>
  </si>
  <si>
    <t>Valid params</t>
  </si>
  <si>
    <t>API-GET-CHECKLIST-010</t>
  </si>
  <si>
    <t>Update an existing Department</t>
  </si>
  <si>
    <t>API-UPDATE-DEPART-050</t>
  </si>
  <si>
    <t>API-GET-CHECKLIST-011</t>
  </si>
  <si>
    <t>Update department with valid ULID and name</t>
  </si>
  <si>
    <t>SQL injection in query params</t>
  </si>
  <si>
    <t>Valid ULID, name="HR"</t>
  </si>
  <si>
    <t>name=' OR 1=1 --</t>
  </si>
  <si>
    <t>Send PUT request with valid data</t>
  </si>
  <si>
    <t>200 OK, department updated successfully</t>
  </si>
  <si>
    <t>Department added successfully</t>
  </si>
  <si>
    <t>Send malicious request</t>
  </si>
  <si>
    <t>Request rejected, no data leak</t>
  </si>
  <si>
    <t>API-UPDATE-DEPART-051</t>
  </si>
  <si>
    <t>API-GET-CHECKLIST-012</t>
  </si>
  <si>
    <t>Verify updated name in DB</t>
  </si>
  <si>
    <t>XSS attempt in query params</t>
  </si>
  <si>
    <t>Update → Fetch department</t>
  </si>
  <si>
    <t>Updated name reflected in response</t>
  </si>
  <si>
    <t>Updated name returned</t>
  </si>
  <si>
    <t>API-UPDATE-DEPART-052</t>
  </si>
  <si>
    <t>Invalid ULID</t>
  </si>
  <si>
    <t>name=&lt;script&gt;</t>
  </si>
  <si>
    <t>Send PUT request</t>
  </si>
  <si>
    <t>Input sanitized / rejected</t>
  </si>
  <si>
    <t>API-UPDATE-DEPART-053</t>
  </si>
  <si>
    <t>API-GET-CHECKLIST-013</t>
  </si>
  <si>
    <t>Each item contains ulid, name, type</t>
  </si>
  <si>
    <t>API-UPDATE-DEPART-054</t>
  </si>
  <si>
    <t>Missing name field</t>
  </si>
  <si>
    <t>Schema</t>
  </si>
  <si>
    <t>API-GET-CHECKLIST-014</t>
  </si>
  <si>
    <t>400 Bad Request (Validation error)</t>
  </si>
  <si>
    <t>Mandatory field</t>
  </si>
  <si>
    <t>Verify pagination metadata</t>
  </si>
  <si>
    <t>API-UPDATE-DEPART-055</t>
  </si>
  <si>
    <t>Empty name value</t>
  </si>
  <si>
    <t>name=""</t>
  </si>
  <si>
    <t>400 Bad Request</t>
  </si>
  <si>
    <t>Pagination enabled</t>
  </si>
  <si>
    <t>Correct pagination info returned</t>
  </si>
  <si>
    <t>Correct pagination returned</t>
  </si>
  <si>
    <t>Meta validation</t>
  </si>
  <si>
    <t>API-UPDATE-DEPART-056</t>
  </si>
  <si>
    <t>Name with max length allowed</t>
  </si>
  <si>
    <t>API-GET-CHECKLIST-015</t>
  </si>
  <si>
    <t>name=255 chars</t>
  </si>
  <si>
    <t>Performance – filtered list response time</t>
  </si>
  <si>
    <t>200 OK</t>
  </si>
  <si>
    <t>Large dataset</t>
  </si>
  <si>
    <t>Length boundary</t>
  </si>
  <si>
    <t>API-UPDATE-DEPART-057</t>
  </si>
  <si>
    <t>Name exceeding max length</t>
  </si>
  <si>
    <t>API-GET-CHECKLIST-016</t>
  </si>
  <si>
    <t>name &gt; allowed limit</t>
  </si>
  <si>
    <t>Validation rule</t>
  </si>
  <si>
    <t>Header</t>
  </si>
  <si>
    <t>API-UPDATE-DEPART-058</t>
  </si>
  <si>
    <t>API-GET-CHECKLIST-017</t>
  </si>
  <si>
    <t>Duplicate department name</t>
  </si>
  <si>
    <t>Existing name</t>
  </si>
  <si>
    <t>Another department with same name exists</t>
  </si>
  <si>
    <t>Uniqueness rule</t>
  </si>
  <si>
    <t>Update An Existing Checklist</t>
  </si>
  <si>
    <t>API-UPDATE-DEPART-059</t>
  </si>
  <si>
    <t>Not logged in</t>
  </si>
  <si>
    <t>API-UPDATE-CHECKLIST-001</t>
  </si>
  <si>
    <t>Update checklist with valid data</t>
  </si>
  <si>
    <t>API-UPDATE-DEPART-060</t>
  </si>
  <si>
    <t>name=Request Laptop, type=1</t>
  </si>
  <si>
    <t>User logged in, checklist exists</t>
  </si>
  <si>
    <t>Send PUT request with valid payload</t>
  </si>
  <si>
    <t>Status Code "200 OK", checklist updated successfully</t>
  </si>
  <si>
    <t>Checklist updated successfully</t>
  </si>
  <si>
    <t>API-UPDATE-DEPART-061</t>
  </si>
  <si>
    <t>API-UPDATE-CHECKLIST-002</t>
  </si>
  <si>
    <t>Update checklist name only</t>
  </si>
  <si>
    <t>User without update permission</t>
  </si>
  <si>
    <t>name=Request Laptop</t>
  </si>
  <si>
    <t>Logged in without permission</t>
  </si>
  <si>
    <t>Status Code "200 OK", name updated</t>
  </si>
  <si>
    <t>Name updated</t>
  </si>
  <si>
    <t>Partial update allowed</t>
  </si>
  <si>
    <t>API-UPDATE-CHECKLIST-003</t>
  </si>
  <si>
    <t>API-UPDATE-DEPART-062</t>
  </si>
  <si>
    <t>IDOR – update department of another tenant</t>
  </si>
  <si>
    <t>Update checklist with empty name</t>
  </si>
  <si>
    <t>name="", type=1</t>
  </si>
  <si>
    <t>Other tenant ULID</t>
  </si>
  <si>
    <t>Logged in as different tenant</t>
  </si>
  <si>
    <t>Status Code "422 Unprocessable Entity" with proper validation message</t>
  </si>
  <si>
    <t>API-UPDATE-CHECKLIST-004</t>
  </si>
  <si>
    <t>Update checklist with invalid type</t>
  </si>
  <si>
    <t>name=Request Laptop, type=99</t>
  </si>
  <si>
    <t>API-UPDATE-DEPART-063</t>
  </si>
  <si>
    <t>Status Code "400 Bad Request" with proper message</t>
  </si>
  <si>
    <t>Invalid enum</t>
  </si>
  <si>
    <t>API-UPDATE-CHECKLIST-005</t>
  </si>
  <si>
    <t>Update checklist without login</t>
  </si>
  <si>
    <t>Auth required</t>
  </si>
  <si>
    <t>API-UPDATE-CHECKLIST-006</t>
  </si>
  <si>
    <t>API-UPDATE-DEPART-064</t>
  </si>
  <si>
    <t>Update non-existing checklist</t>
  </si>
  <si>
    <t>Concurrent update requests</t>
  </si>
  <si>
    <t>Checklist does not exist</t>
  </si>
  <si>
    <t>Multiple users</t>
  </si>
  <si>
    <t>Send simultaneous PUT requests</t>
  </si>
  <si>
    <t>Last valid update persists, no corruption</t>
  </si>
  <si>
    <t>API-UPDATE-CHECKLIST-007</t>
  </si>
  <si>
    <t>Update checklist with invalid ULID format</t>
  </si>
  <si>
    <t>Concurrency</t>
  </si>
  <si>
    <t>API-UPDATE-DEPART-065</t>
  </si>
  <si>
    <t>Database failure during update</t>
  </si>
  <si>
    <t>API-UPDATE-CHECKLIST-008</t>
  </si>
  <si>
    <t>Verify response fields</t>
  </si>
  <si>
    <t>API-UPDATE-CHECKLIST-009</t>
  </si>
  <si>
    <t>Update checklist response time</t>
  </si>
  <si>
    <t>API-UPDATE-DEPART-066</t>
  </si>
  <si>
    <t>SQL Injection attempt in name field</t>
  </si>
  <si>
    <t>name="HR'; DROP TABLE --"</t>
  </si>
  <si>
    <t>API-UPDATE-CHECKLIST-010</t>
  </si>
  <si>
    <t>Update checklist without payload</t>
  </si>
  <si>
    <t>400 Bad Request / input sanitized</t>
  </si>
  <si>
    <t>Empty body</t>
  </si>
  <si>
    <t>Send PUT request without body</t>
  </si>
  <si>
    <t>Injection prevention</t>
  </si>
  <si>
    <t>Payload required</t>
  </si>
  <si>
    <t>API-UPDATE-CHECKLIST-011</t>
  </si>
  <si>
    <t>Update checklist with null values</t>
  </si>
  <si>
    <t>name=null, type=null</t>
  </si>
  <si>
    <t>API-UPDATE-DEPART-067</t>
  </si>
  <si>
    <t>XSS attempt in name field</t>
  </si>
  <si>
    <t>Null validation</t>
  </si>
  <si>
    <t>name="alert(1)"</t>
  </si>
  <si>
    <t>API-UPDATE-CHECKLIST-012</t>
  </si>
  <si>
    <t>Update checklist with extra fields</t>
  </si>
  <si>
    <t>Input rejected or sanitized</t>
  </si>
  <si>
    <t>name, type, extraField</t>
  </si>
  <si>
    <t>XSS prevention</t>
  </si>
  <si>
    <t>Add a Department</t>
  </si>
  <si>
    <t>API-UPDATE-CHECKLIST-013</t>
  </si>
  <si>
    <t>Unauthorized role updating checklist</t>
  </si>
  <si>
    <t>API-ADD-DEPART-068</t>
  </si>
  <si>
    <t>Logged in as unauthorized role</t>
  </si>
  <si>
    <t>Status Code "403 Forbidden" with proper message</t>
  </si>
  <si>
    <t>Add department with valid name</t>
  </si>
  <si>
    <t>name="HR"</t>
  </si>
  <si>
    <t>Authenticated user with create permission</t>
  </si>
  <si>
    <t>201 Created, department added successfully</t>
  </si>
  <si>
    <t>New department added successfully</t>
  </si>
  <si>
    <t>API-UPDATE-CHECKLIST-014</t>
  </si>
  <si>
    <t>Update checklist with expired token</t>
  </si>
  <si>
    <t>API-UPDATE-CHECKLIST-015</t>
  </si>
  <si>
    <t>Verify update audit trail</t>
  </si>
  <si>
    <t>Audit logging enabled</t>
  </si>
  <si>
    <t>Update checklist</t>
  </si>
  <si>
    <t>Update logged with user &amp; timestamp</t>
  </si>
  <si>
    <t>API-ADD-DEPART-069</t>
  </si>
  <si>
    <t>Compliance</t>
  </si>
  <si>
    <t>Delete An Existing Checklist</t>
  </si>
  <si>
    <t>Response contains ulid and name</t>
  </si>
  <si>
    <t>Response contains object as expected</t>
  </si>
  <si>
    <t>API-ADD-DEPART-070</t>
  </si>
  <si>
    <t>API-DELETE-CHECKLIST-001</t>
  </si>
  <si>
    <t>Delete checklist with valid ULID</t>
  </si>
  <si>
    <t>ulid is valid ULID format</t>
  </si>
  <si>
    <t>checklist=valid ULID</t>
  </si>
  <si>
    <t>Status Code "204 No Content", checklist deleted</t>
  </si>
  <si>
    <t>Checklist deleted successfully</t>
  </si>
  <si>
    <t>ID validation</t>
  </si>
  <si>
    <t>API-ADD-DEPART-071</t>
  </si>
  <si>
    <t>Verify data persistence</t>
  </si>
  <si>
    <t>API-DELETE-CHECKLIST-002</t>
  </si>
  <si>
    <t>Verify checklist deleted successfully</t>
  </si>
  <si>
    <t>Add department → Fetch department</t>
  </si>
  <si>
    <t>Department exists in DB</t>
  </si>
  <si>
    <t>New department exists in database</t>
  </si>
  <si>
    <t>Same ULID</t>
  </si>
  <si>
    <t>Checklist deleted</t>
  </si>
  <si>
    <t>Deleted checklist is removed from list</t>
  </si>
  <si>
    <t>API-ADD-DEPART-072</t>
  </si>
  <si>
    <t>API-DELETE-CHECKLIST-003</t>
  </si>
  <si>
    <t>Delete checklist without authentication</t>
  </si>
  <si>
    <t>Unauthorized message is displayed</t>
  </si>
  <si>
    <t>Validation error</t>
  </si>
  <si>
    <t>API-DELETE-CHECKLIST-004</t>
  </si>
  <si>
    <t>Delete checklist with insufficient role</t>
  </si>
  <si>
    <t>API-ADD-DEPART-073</t>
  </si>
  <si>
    <t>API-DELETE-CHECKLIST-005</t>
  </si>
  <si>
    <t>Delete non-existing checklist</t>
  </si>
  <si>
    <t>Non-existing ULID</t>
  </si>
  <si>
    <t>4040 Not Found returned</t>
  </si>
  <si>
    <t>API-ADD-DEPART-074</t>
  </si>
  <si>
    <t>Name at max allowed length</t>
  </si>
  <si>
    <t>Invalid resource</t>
  </si>
  <si>
    <t>API-DELETE-CHECKLIST-006</t>
  </si>
  <si>
    <t>Delete checklist with invalid ULID format</t>
  </si>
  <si>
    <t>201 Created</t>
  </si>
  <si>
    <t>Length validation</t>
  </si>
  <si>
    <t>API-DELETE-CHECKLIST-007</t>
  </si>
  <si>
    <t>Delete checklist already deleted</t>
  </si>
  <si>
    <t>API-ADD-DEPART-075</t>
  </si>
  <si>
    <t>Deleted ULID</t>
  </si>
  <si>
    <t>Checklist already removed</t>
  </si>
  <si>
    <t>Send DELETE request again</t>
  </si>
  <si>
    <t>400 Bad Request/ 422 Unprocessable entity</t>
  </si>
  <si>
    <t>Idempotency check</t>
  </si>
  <si>
    <t>422 error message</t>
  </si>
  <si>
    <t>API-DELETE-CHECKLIST-008</t>
  </si>
  <si>
    <t>Delete checklist with expired token</t>
  </si>
  <si>
    <t>API-ADD-DEPART-076</t>
  </si>
  <si>
    <t>API-DELETE-CHECKLIST-009</t>
  </si>
  <si>
    <t>Delete checklist response time</t>
  </si>
  <si>
    <t>name="HR" (existing)</t>
  </si>
  <si>
    <t>HR already exists</t>
  </si>
  <si>
    <t>Validtaion error message displayed</t>
  </si>
  <si>
    <t>API-ADD-DEPART-077</t>
  </si>
  <si>
    <t>API-ADD-DEPART-078</t>
  </si>
  <si>
    <t>API-ADD-DEPART-079</t>
  </si>
  <si>
    <t>User without create permission</t>
  </si>
  <si>
    <t>API-ADD-DEPART-080</t>
  </si>
  <si>
    <t>SQL Injection attempt</t>
  </si>
  <si>
    <t>400 Bad Request / sanitized input</t>
  </si>
  <si>
    <t>API-ADD-DEPART-081</t>
  </si>
  <si>
    <t>XSS attempt</t>
  </si>
  <si>
    <t>API-ADD-DEPART-082</t>
  </si>
  <si>
    <t>name="Finance"</t>
  </si>
  <si>
    <t>API-ADD-DEPART-083</t>
  </si>
  <si>
    <t>Concurrent creation of same department</t>
  </si>
  <si>
    <t>Send simultaneous POST requests</t>
  </si>
  <si>
    <t>Only one succeeds, others return 409</t>
  </si>
  <si>
    <t>API-ADD-DEPART-084</t>
  </si>
  <si>
    <t>Database failure during creation</t>
  </si>
  <si>
    <t>Adding Files</t>
  </si>
  <si>
    <t>API-UPLOAD-FILE-001</t>
  </si>
  <si>
    <t>Upload valid PDF file</t>
  </si>
  <si>
    <t>/v1/files/upload</t>
  </si>
  <si>
    <t>file = valid.pdf (≤5MB)</t>
  </si>
  <si>
    <t>1. Send POST request with form-data key file
2. Select valid PDF file</t>
  </si>
  <si>
    <t>Status Code "201 Created", response contains ulid and filePath</t>
  </si>
  <si>
    <t xml:space="preserve">As expected </t>
  </si>
  <si>
    <t>API-UPLOAD-FILE-002</t>
  </si>
  <si>
    <t>Upload valid JPG file</t>
  </si>
  <si>
    <t>file = image.jpg (≤5MB)</t>
  </si>
  <si>
    <t>Upload JPG file using form-data</t>
  </si>
  <si>
    <t>File uploaded successfully with response fields</t>
  </si>
  <si>
    <t>API-UPLOAD-FILE-003</t>
  </si>
  <si>
    <t>Upload valid PNG file</t>
  </si>
  <si>
    <t>file = image.png (≤5MB)</t>
  </si>
  <si>
    <t>Upload PNG file using form-data</t>
  </si>
  <si>
    <t>File uploaded successfully</t>
  </si>
  <si>
    <t>API-UPLOAD-FILE-004</t>
  </si>
  <si>
    <t>Upload file exceeding max size</t>
  </si>
  <si>
    <t>file &gt; 5MB</t>
  </si>
  <si>
    <t>Upload file larger than 5MB</t>
  </si>
  <si>
    <t>Status Code "413 Payload Too Large" with proper message</t>
  </si>
  <si>
    <t>Status Code "413 Payload too Large " with HTML page generated by nginx</t>
  </si>
  <si>
    <t>Boundary test</t>
  </si>
  <si>
    <t>API-UPLOAD-FILE-005</t>
  </si>
  <si>
    <t>Upload unsupported file type</t>
  </si>
  <si>
    <t>file = test.exe</t>
  </si>
  <si>
    <t>Upload unsupported file</t>
  </si>
  <si>
    <t>Status Code "422 Unprocessable Entity", invalid file type error</t>
  </si>
  <si>
    <t>As expected with "The file field must be a file of type: pdf, jpg, png."</t>
  </si>
  <si>
    <t>Security test</t>
  </si>
  <si>
    <t>API-UPLOAD-FILE-006</t>
  </si>
  <si>
    <t>Upload without file key</t>
  </si>
  <si>
    <t>No file key</t>
  </si>
  <si>
    <t>Send request without form-data key file</t>
  </si>
  <si>
    <t>Status Code "422 Unprocessable Entity", file required error</t>
  </si>
  <si>
    <t>Status Code "200 OK" with PHP Warning and JSON</t>
  </si>
  <si>
    <t>API-UPLOAD-FILE-006-Screenshot</t>
  </si>
  <si>
    <t>Validation test</t>
  </si>
  <si>
    <t>API-UPLOAD-FILE-007</t>
  </si>
  <si>
    <t>Upload empty file</t>
  </si>
  <si>
    <t>Empty file</t>
  </si>
  <si>
    <t>Status Code "422 Unprocessable Entity", with proper message</t>
  </si>
  <si>
    <t>API-UPLOAD-FILE-008</t>
  </si>
  <si>
    <t>Upload corrupted file</t>
  </si>
  <si>
    <t>Corrupted PDF</t>
  </si>
  <si>
    <t>Upload rejected with error</t>
  </si>
  <si>
    <t>File integrity</t>
  </si>
  <si>
    <t>API-UPLOAD-FILE-009</t>
  </si>
  <si>
    <t>Upload file without authentication</t>
  </si>
  <si>
    <t>Valid file</t>
  </si>
  <si>
    <t>Upload file</t>
  </si>
  <si>
    <t>Status code "401 Unauthorized" with Unauthenticated message</t>
  </si>
  <si>
    <t>API-UPLOAD-FILE-010</t>
  </si>
  <si>
    <t>Response contains valid ulid and filePath</t>
  </si>
  <si>
    <t>API-UPLOAD-FILE-011</t>
  </si>
  <si>
    <t>Verify ULID uniqueness</t>
  </si>
  <si>
    <t>Same file uploaded twice</t>
  </si>
  <si>
    <t>Upload same file twice</t>
  </si>
  <si>
    <t>Unique ulid generated each time</t>
  </si>
  <si>
    <t>API-UPLOAD-FILE-012</t>
  </si>
  <si>
    <t>Verify filePath accessibility</t>
  </si>
  <si>
    <t>Upload file → Open filePath URL</t>
  </si>
  <si>
    <t>File opens/downloads successfully</t>
  </si>
  <si>
    <t>Storage validation</t>
  </si>
  <si>
    <t>API-UPLOAD-FILE-013</t>
  </si>
  <si>
    <t>Multiple concurrent uploads</t>
  </si>
  <si>
    <t>Multiple valid files</t>
  </si>
  <si>
    <t>Upload files simultaneously</t>
  </si>
  <si>
    <t>All uploads succeed without error and response should contain ulid and url for each</t>
  </si>
  <si>
    <t>Only last uploaded file details returned</t>
  </si>
  <si>
    <t>API-UPLOAD-FILE-013-Screenshot</t>
  </si>
  <si>
    <t>API-UPLOAD-FILE-014</t>
  </si>
  <si>
    <t>Rate limiting on uploads</t>
  </si>
  <si>
    <t>Multiple rapid requests</t>
  </si>
  <si>
    <t>Upload files repeatedly</t>
  </si>
  <si>
    <t>429 Too Many Requests</t>
  </si>
  <si>
    <t>Abuse prevention</t>
  </si>
  <si>
    <t>API-UPLOAD-FILE-015</t>
  </si>
  <si>
    <t>SQL injection in filename</t>
  </si>
  <si>
    <t>file name = ' OR 1=1 --.png</t>
  </si>
  <si>
    <t>Upload file with malicious filename</t>
  </si>
  <si>
    <t>Upload blocked or sanitized</t>
  </si>
  <si>
    <t xml:space="preserve">Sanitized </t>
  </si>
  <si>
    <t>API-UPLOAD-FILE-016</t>
  </si>
  <si>
    <t>XSS attempt via filename</t>
  </si>
  <si>
    <t>&lt;script&gt;.png</t>
  </si>
  <si>
    <t>Filename sanitized, no script execution</t>
  </si>
  <si>
    <t>API-UPLOAD-FILE-017</t>
  </si>
  <si>
    <t>Upload max boundary file (5MB)</t>
  </si>
  <si>
    <t>Exactly 5MB file</t>
  </si>
  <si>
    <t>Upload 5MB file</t>
  </si>
  <si>
    <t>Upload successful</t>
  </si>
  <si>
    <t>Boundary value</t>
  </si>
  <si>
    <t>API-UPLOAD-FILE-018</t>
  </si>
  <si>
    <t>Storage service down</t>
  </si>
  <si>
    <t>500 Internal Server Error with message</t>
  </si>
  <si>
    <t>API-UPLOAD-FILE-019</t>
  </si>
  <si>
    <t>Unsupported  HTTP method</t>
  </si>
  <si>
    <t>Status code "405 Method Not Allowed" with propper error message</t>
  </si>
  <si>
    <t>Status Code "500 Internal Server Error" (This is the Client Side error as Client is using unsupported HTTP method so it should through client side error code like 404 Method Not Found )</t>
  </si>
  <si>
    <t>REST contract validation</t>
  </si>
  <si>
    <t>API-UPLOAD-FILE-020</t>
  </si>
  <si>
    <t>Invalid Endpoint</t>
  </si>
  <si>
    <t>/v1/file/upload</t>
  </si>
  <si>
    <t>Status code "404 Not Found" with proper error message</t>
  </si>
  <si>
    <t>Invalid endpoint validation</t>
  </si>
  <si>
    <t>API-UPLOAD-FILE-021</t>
  </si>
  <si>
    <t>Verify Role Based Access For Uploading File</t>
  </si>
  <si>
    <t xml:space="preserve">User authenticated but doesnot have permission </t>
  </si>
  <si>
    <t>Status code "403 Forbidden" with proper message</t>
  </si>
  <si>
    <t>As expected (For User Role)</t>
  </si>
  <si>
    <t xml:space="preserve">Role Based Access Validation </t>
  </si>
  <si>
    <t>Delete An Existing File</t>
  </si>
  <si>
    <t>API-DELETE-FILE-001</t>
  </si>
  <si>
    <t>Delete file with valid ULID</t>
  </si>
  <si>
    <t>/v1/files/{file}</t>
  </si>
  <si>
    <t>file = valid ULID</t>
  </si>
  <si>
    <t>File exists, user authenticated</t>
  </si>
  <si>
    <t>1. Send DELETE request with valid ULID</t>
  </si>
  <si>
    <t xml:space="preserve">Status Code "204 No Content" and file deleted </t>
  </si>
  <si>
    <t>API-DELETE-FILE-002</t>
  </si>
  <si>
    <t>Delete non-existing file</t>
  </si>
  <si>
    <t>file = non-existing ULID</t>
  </si>
  <si>
    <t>Status Code "404 Not Found",  wiht proper message</t>
  </si>
  <si>
    <t>As expected with "Did Not Match Any Record "</t>
  </si>
  <si>
    <t>API-DELETE-FILE-003</t>
  </si>
  <si>
    <t>Delete file with invalid ULID format</t>
  </si>
  <si>
    <t>file = invalid format</t>
  </si>
  <si>
    <t>Status Code "404 Not Found", with proper message</t>
  </si>
  <si>
    <t>API-DELETE-FILE-004</t>
  </si>
  <si>
    <t>Delete file without authentication</t>
  </si>
  <si>
    <t>API-DELETE-FILE-005</t>
  </si>
  <si>
    <t>Delete file without permission</t>
  </si>
  <si>
    <t>User lacks delete permission</t>
  </si>
  <si>
    <t xml:space="preserve">As expected  </t>
  </si>
  <si>
    <t>API-DELETE-FILE-006</t>
  </si>
  <si>
    <t>Delete file already deleted</t>
  </si>
  <si>
    <t>file = deleted ULID</t>
  </si>
  <si>
    <t>File previously deleted</t>
  </si>
  <si>
    <t>Status Code "404 Not Found"</t>
  </si>
  <si>
    <t>Idempotency</t>
  </si>
  <si>
    <t>API-DELETE-FILE-007</t>
  </si>
  <si>
    <t>SQL injection attempt in ULID</t>
  </si>
  <si>
    <t xml:space="preserve"> OR 1=1 --</t>
  </si>
  <si>
    <t>Request rejected, no deletion</t>
  </si>
  <si>
    <t>API-DELETE-FILE-008</t>
  </si>
  <si>
    <t>XSS attempt in ULID</t>
  </si>
  <si>
    <t>&lt;script&gt;</t>
  </si>
  <si>
    <t>Request rejected</t>
  </si>
  <si>
    <t>API-DELETE-FILE-009</t>
  </si>
  <si>
    <t>Concurrent delete requests</t>
  </si>
  <si>
    <t>Same valid ULID</t>
  </si>
  <si>
    <t>Send DELETE requests simultaneously</t>
  </si>
  <si>
    <t>One success (204), others fail gracefully</t>
  </si>
  <si>
    <t>API-DELETE-FILE-010</t>
  </si>
  <si>
    <t>Verify file is removed from storage</t>
  </si>
  <si>
    <t>Delete file → try accessing file URL</t>
  </si>
  <si>
    <t>File not accessible</t>
  </si>
  <si>
    <t>API-DELETE-FILE-011</t>
  </si>
  <si>
    <t>Verify DB record removal</t>
  </si>
  <si>
    <t>Delete file → query DB</t>
  </si>
  <si>
    <t>File record removed</t>
  </si>
  <si>
    <t>API-DELETE-FILE-012</t>
  </si>
  <si>
    <t>Performance – delete response time</t>
  </si>
  <si>
    <t>Response time within SLA</t>
  </si>
  <si>
    <t>API-DELETE-FILE-013</t>
  </si>
  <si>
    <t>Rate limiting on delete requests</t>
  </si>
  <si>
    <t>Multiple rapid deletes</t>
  </si>
  <si>
    <t>Rate limit enabled</t>
  </si>
  <si>
    <t>Send multiple DELETE requests</t>
  </si>
  <si>
    <t>API-DELETE-FILE-014</t>
  </si>
  <si>
    <t>API-DELETE-FILE-015</t>
  </si>
  <si>
    <t>API-DELETE-FILE-016</t>
  </si>
  <si>
    <t>/v1/file/{file}</t>
  </si>
  <si>
    <t>Preconditions</t>
  </si>
  <si>
    <t xml:space="preserve">Expected Results </t>
  </si>
  <si>
    <t>Actual Results</t>
  </si>
  <si>
    <t xml:space="preserve">Execution Status </t>
  </si>
  <si>
    <t>Bug Severity</t>
  </si>
  <si>
    <t>Bug Priority</t>
  </si>
  <si>
    <t>OB-TC-001</t>
  </si>
  <si>
    <t xml:space="preserve">Start Offboarding </t>
  </si>
  <si>
    <t>Employee: John Smith (EMP-10245), 
Dept: Finance, 
Resignation Date: 2026-04-08</t>
  </si>
  <si>
    <t>Employee active, HR Admin logged in, resignation submitted</t>
  </si>
  <si>
    <t>Go to HR &gt; Offboarding &gt; Initiate, Search Employee, Select Voluntary, Enter Last Day, Attach resignation, Click Submit</t>
  </si>
  <si>
    <t>Offboarding starts, status = Notice Period, notifications sent, checklist created</t>
  </si>
  <si>
    <t>Offboarding started, status = Notice Period, notifications sent, checklist created</t>
  </si>
  <si>
    <t>Check email notification for Last Working Day</t>
  </si>
  <si>
    <t>OB-TC-002</t>
  </si>
  <si>
    <t>Try Offboarding Without Mandatory Fields</t>
  </si>
  <si>
    <t>Employee: EMP-10999, Missing Last Day</t>
  </si>
  <si>
    <t>HR Admin logged in, Employee active</t>
  </si>
  <si>
    <t>Enter Employee ID, leave Last Day blank, Submit</t>
  </si>
  <si>
    <t>Form blocked, shows error: 'Last Day required', no record created, no notifications</t>
  </si>
  <si>
    <t>Form blocked, error shown correctly</t>
  </si>
  <si>
    <t>Check all mandatory fields</t>
  </si>
  <si>
    <t>OB-TC-003</t>
  </si>
  <si>
    <t>Try Duplicate Offboarding for Same Employee</t>
  </si>
  <si>
    <t>Employee: EMP-10245</t>
  </si>
  <si>
    <t>Offboarding already started, Status = Notice Period</t>
  </si>
  <si>
    <t>Enter Employee ID, try to start again</t>
  </si>
  <si>
    <t>Error: 'Offboarding already exists', no duplicate record</t>
  </si>
  <si>
    <t>Duplicate record created by mistake</t>
  </si>
  <si>
    <t>Important to prevent duplicates</t>
  </si>
  <si>
    <t>OB-TC-004</t>
  </si>
  <si>
    <t>Manager Approves Resignation</t>
  </si>
  <si>
    <t>Employee: EMP-10245, Manager: MGR-3001</t>
  </si>
  <si>
    <t>Offboarding started, approval task in inbox</t>
  </si>
  <si>
    <t>Manager logs in, opens task, approves, adds comment</t>
  </si>
  <si>
    <t>Approval done, next step starts, notifications sent</t>
  </si>
  <si>
    <t>Approval done, notifications sent</t>
  </si>
  <si>
    <t>Test multi-level approval too</t>
  </si>
  <si>
    <t>OB-TC-005</t>
  </si>
  <si>
    <t>Schedule Exit Interview</t>
  </si>
  <si>
    <t>Employee: EMP-10245, Interviewer: HR-007, Date: 2026-04-18, Mode: In-Person</t>
  </si>
  <si>
    <t>Offboarding active, HR Admin logged in</t>
  </si>
  <si>
    <t>Go to Exit Interview &gt; Schedule, assign interviewer and date, Save</t>
  </si>
  <si>
    <t>Interview scheduled, invites sent, status = Scheduled</t>
  </si>
  <si>
    <t>Interview scheduled, but form link missing</t>
  </si>
  <si>
    <t>Test also phone/virtual interviews</t>
  </si>
  <si>
    <t>OB-TC-006</t>
  </si>
  <si>
    <t>Generate Asset Return List</t>
  </si>
  <si>
    <t>Employee: EMP-10245, Assets: Laptop, Access Card, Mobile</t>
  </si>
  <si>
    <t>Employee has assets, Offboarding active</t>
  </si>
  <si>
    <t>Go to Asset Return, verify checklist, send to IT</t>
  </si>
  <si>
    <t>Checklist shows all assets, notification sent</t>
  </si>
  <si>
    <t>Checklist correct, notifications sent</t>
  </si>
  <si>
    <t>Check integration with Asset module</t>
  </si>
  <si>
    <t>OB-TC-007</t>
  </si>
  <si>
    <t>Block Offboarding if Asset Not Returned</t>
  </si>
  <si>
    <t>Employee: EMP-10245, Pending Asset: Access Card</t>
  </si>
  <si>
    <t>Offboarding active, Asset not returned</t>
  </si>
  <si>
    <t>HR tries to mark complete</t>
  </si>
  <si>
    <t>System blocks completion, alert shows pending asset</t>
  </si>
  <si>
    <t>Offboardig complete; no alert shown</t>
  </si>
  <si>
    <t>Waiver needs manager approval</t>
  </si>
  <si>
    <t>Fetch Details Of Logged In User</t>
  </si>
  <si>
    <t>API-GET-LOG-USER-001</t>
  </si>
  <si>
    <t>Fetch details of logged-in user</t>
  </si>
  <si>
    <t>/v1/me</t>
  </si>
  <si>
    <t>1. Login with valid credentials2. Send GET request</t>
  </si>
  <si>
    <t>Status Code "200 OK" returned with user details (ulid, fullName, email, role, department, etc.)</t>
  </si>
  <si>
    <t>As expected For Admin (role and isGeneratedPassword)</t>
  </si>
  <si>
    <t>Functional validation</t>
  </si>
  <si>
    <t>API-GET-LOG-USER-002</t>
  </si>
  <si>
    <t>Unauthenticated user</t>
  </si>
  <si>
    <t>No login token</t>
  </si>
  <si>
    <t>Send GET request without authentication</t>
  </si>
  <si>
    <t>Verify authentication enforcement</t>
  </si>
  <si>
    <t>API-GET-LOG-USER-003</t>
  </si>
  <si>
    <t>User with expired token</t>
  </si>
  <si>
    <t>Send GET request with expired token</t>
  </si>
  <si>
    <t>401 Unauthorized with proper error message</t>
  </si>
  <si>
    <t>Validate token expiration handling</t>
  </si>
  <si>
    <t>API-GET-LOG-USER-004</t>
  </si>
  <si>
    <t>Status Code "405 Method Not Allowed"</t>
  </si>
  <si>
    <t>API should reject unsupported methods</t>
  </si>
  <si>
    <t>API-GET-LOG-USER-005</t>
  </si>
  <si>
    <t>Sensitive fields not exposed</t>
  </si>
  <si>
    <t>Response excludes passwords, tokens, or other confidential data</t>
  </si>
  <si>
    <t>Security/privacy validation</t>
  </si>
  <si>
    <t>API-GET-LOG-USER-006</t>
  </si>
  <si>
    <t>Response field validation</t>
  </si>
  <si>
    <t>All mandatory fields returned: ulid, fullName, email, role, department, status, joiningDate, etc.</t>
  </si>
  <si>
    <t>API-GET-LOG-USER-007</t>
  </si>
  <si>
    <t>Check department object presence</t>
  </si>
  <si>
    <t>department object contains ulid and name</t>
  </si>
  <si>
    <t>Nested object validation</t>
  </si>
  <si>
    <t>API-GET-LOG-USER-008</t>
  </si>
  <si>
    <t>Check reportingManager field</t>
  </si>
  <si>
    <t>reportingManager field exists and is correct</t>
  </si>
  <si>
    <t>API-GET-LOG-USER-009</t>
  </si>
  <si>
    <t>Response returned &lt; 2 seconds</t>
  </si>
  <si>
    <t>Performance validation</t>
  </si>
  <si>
    <t>API-GET-LOG-USER-010</t>
  </si>
  <si>
    <t>Multiple simultaneous requests</t>
  </si>
  <si>
    <t>Send 50 concurrent GET requests</t>
  </si>
  <si>
    <t>All responses 200 OK and consistent</t>
  </si>
  <si>
    <t>Concurrency/stress test</t>
  </si>
  <si>
    <t>API-GET-LOG-USER-011</t>
  </si>
  <si>
    <t>Send GET request with invalid token</t>
  </si>
  <si>
    <t>API-GET-LOG-USER-012</t>
  </si>
  <si>
    <t>User status validation</t>
  </si>
  <si>
    <t>Response shows correct status field (Active/Inactive)</t>
  </si>
  <si>
    <t>Business rule check</t>
  </si>
  <si>
    <t>API-GET-LOG-USER-015</t>
  </si>
  <si>
    <t>Token missing "Bearer" prefix</t>
  </si>
  <si>
    <t>Authorization: token</t>
  </si>
  <si>
    <t>Send GET request without “Bearer” prefix</t>
  </si>
  <si>
    <t>Authentication validation</t>
  </si>
  <si>
    <t>API-GET-LOG-USER-016</t>
  </si>
  <si>
    <t>Response data type validation</t>
  </si>
  <si>
    <t>All fields match expected data types: string, date, object</t>
  </si>
  <si>
    <t>API-GET-LOG-USER-017</t>
  </si>
  <si>
    <t>Verify email format</t>
  </si>
  <si>
    <t>Email field follows valid email format</t>
  </si>
  <si>
    <t>API-GET-LOG-USER-018</t>
  </si>
  <si>
    <t>User not found</t>
  </si>
  <si>
    <t>Deleted user token</t>
  </si>
  <si>
    <t>Send GET request with token of deleted user</t>
  </si>
  <si>
    <t>User existence validation</t>
  </si>
  <si>
    <t>API-GET-LOG-USER-019</t>
  </si>
  <si>
    <t>Check joiningDate format</t>
  </si>
  <si>
    <t>joiningDate follows YYYY-MM-DD format</t>
  </si>
  <si>
    <t>Date format validation</t>
  </si>
  <si>
    <t>API-GET-LOG-USER-020</t>
  </si>
  <si>
    <t>Verify role correctness</t>
  </si>
  <si>
    <t>role matches user’s assigned role</t>
  </si>
  <si>
    <t>Business validation</t>
  </si>
  <si>
    <t>API-GET-LOG-USER-021</t>
  </si>
  <si>
    <t>Verify type field</t>
  </si>
  <si>
    <t>type field correctly returned (Fulltime/Parttime)</t>
  </si>
  <si>
    <t>API-GET-LOG-USER-022</t>
  </si>
  <si>
    <t>Large number of profile metadata</t>
  </si>
  <si>
    <t>Send GET request with large profile data</t>
  </si>
  <si>
    <t>API responds gracefully without failure</t>
  </si>
  <si>
    <t>Stress testing</t>
  </si>
  <si>
    <t>API-GET-LOG-USER-023</t>
  </si>
  <si>
    <t>Emergency contact field</t>
  </si>
  <si>
    <t>emergencyName and emergencyContact fields present</t>
  </si>
  <si>
    <t>API-GET-LOG-USER-024</t>
  </si>
  <si>
    <t>Address field correctness</t>
  </si>
  <si>
    <t>address field correctly returned</t>
  </si>
  <si>
    <t>API-GET-LOG-USER-025</t>
  </si>
  <si>
    <t>All optional fields returned when present</t>
  </si>
  <si>
    <t>Optional fields (phone, jobTitle, department, etc.) present if available</t>
  </si>
  <si>
    <t>Optional field validation</t>
  </si>
  <si>
    <t>Change Password</t>
  </si>
  <si>
    <t>API-CHNG-PW-001</t>
  </si>
  <si>
    <t>Change password with valid old password</t>
  </si>
  <si>
    <t>PATCH</t>
  </si>
  <si>
    <t>/v1/user/password/change</t>
  </si>
  <si>
    <t>Valid old &amp; new password</t>
  </si>
  <si>
    <t>Send PATCH request</t>
  </si>
  <si>
    <t>Status Code "204 No Content", password updated</t>
  </si>
  <si>
    <t>Password updated successfully</t>
  </si>
  <si>
    <t>API-CHNG-PW-002</t>
  </si>
  <si>
    <t>Verify login with new password</t>
  </si>
  <si>
    <t>/v1/auth/login</t>
  </si>
  <si>
    <t>New password</t>
  </si>
  <si>
    <t>Password updated</t>
  </si>
  <si>
    <t>Attempt login with new password</t>
  </si>
  <si>
    <t>Login successful</t>
  </si>
  <si>
    <t>Login Successful</t>
  </si>
  <si>
    <t>API-CHNG-PW-003</t>
  </si>
  <si>
    <t>Verify old password no longer works</t>
  </si>
  <si>
    <t>Old password</t>
  </si>
  <si>
    <t>Attempt login with old password</t>
  </si>
  <si>
    <t>Login fails</t>
  </si>
  <si>
    <t>Login fails with old password</t>
  </si>
  <si>
    <t>API-CHNG-PW-004</t>
  </si>
  <si>
    <t>Incorrect old password</t>
  </si>
  <si>
    <t>Wrong oldPassword</t>
  </si>
  <si>
    <t>Status Code "422" with proper message / 401 Unauthorized</t>
  </si>
  <si>
    <t>422 Unprocessable entity</t>
  </si>
  <si>
    <t>API-CHNG-PW-005</t>
  </si>
  <si>
    <t>New and confirm password mismatch</t>
  </si>
  <si>
    <t>confirmPassword ≠ newPassword</t>
  </si>
  <si>
    <t>Validation error must displayed</t>
  </si>
  <si>
    <t>API-CHNG-PW-006</t>
  </si>
  <si>
    <t>Missing oldPassword field</t>
  </si>
  <si>
    <t>Missing field</t>
  </si>
  <si>
    <t>Validation for mandatory filed is displayed</t>
  </si>
  <si>
    <t>API-CHNG-PW-007</t>
  </si>
  <si>
    <t>Missing newPassword field</t>
  </si>
  <si>
    <t>API-CHNG-PW-008</t>
  </si>
  <si>
    <t>New password minimum length</t>
  </si>
  <si>
    <t>Min length password</t>
  </si>
  <si>
    <t>Status Code "204 No Content" if meets policy</t>
  </si>
  <si>
    <t>API-CHNG-PW-009</t>
  </si>
  <si>
    <t>New password below minimum length</t>
  </si>
  <si>
    <t>Short password</t>
  </si>
  <si>
    <t>Error message displayed</t>
  </si>
  <si>
    <t>Password policy</t>
  </si>
  <si>
    <t>API-CHNG-PW-010</t>
  </si>
  <si>
    <t>New password same as old password</t>
  </si>
  <si>
    <t>Same old &amp; new</t>
  </si>
  <si>
    <t>Security rule</t>
  </si>
  <si>
    <t>API-CHNG-PW-011</t>
  </si>
  <si>
    <t>API-CHNG-PW-012</t>
  </si>
  <si>
    <t>API-CHNG-PW-013</t>
  </si>
  <si>
    <t>API-CHNG-PW-014</t>
  </si>
  <si>
    <t>Password hashing validation</t>
  </si>
  <si>
    <t>Check database</t>
  </si>
  <si>
    <t>Password stored hashed (not plain text)</t>
  </si>
  <si>
    <t>Data protection</t>
  </si>
  <si>
    <t>API-CHNG-PW-015</t>
  </si>
  <si>
    <t>Ensure password not returned in response</t>
  </si>
  <si>
    <t>No password data in response</t>
  </si>
  <si>
    <t>No password data is displayed in response body</t>
  </si>
  <si>
    <t>Sensitive data protection</t>
  </si>
  <si>
    <t>Show An Exisitng User Profile</t>
  </si>
  <si>
    <t>API-USER-PROFILE-001</t>
  </si>
  <si>
    <t>Fetch user profile with valid user ULID</t>
  </si>
  <si>
    <t>/v1/users/{user}/profile</t>
  </si>
  <si>
    <t>user=valid ULID</t>
  </si>
  <si>
    <t>User logged in with valid token</t>
  </si>
  <si>
    <t>Send GET request with valid ULID</t>
  </si>
  <si>
    <t>200 OK with user profile data</t>
  </si>
  <si>
    <t xml:space="preserve">User with profile data is displayed </t>
  </si>
  <si>
    <t>API-USER-PROFILE-002</t>
  </si>
  <si>
    <t>Expexted Result</t>
  </si>
  <si>
    <t>Fetch own user profile</t>
  </si>
  <si>
    <t>TC-LF-001</t>
  </si>
  <si>
    <t>user=self ULID</t>
  </si>
  <si>
    <t>Login with valid credentials</t>
  </si>
  <si>
    <t>User exists and is active</t>
  </si>
  <si>
    <t>1. Open login page
2. Enter valid email &amp; password
3. Click Login</t>
  </si>
  <si>
    <t>200 OK with own profile</t>
  </si>
  <si>
    <t>email :- jeevanghimire12345@gmail.com
password :- Jivraj@1234</t>
  </si>
  <si>
    <t>User is logged in and redirected to correct dashboard (Admin/HR/Manager/Employee)</t>
  </si>
  <si>
    <t>Self profile</t>
  </si>
  <si>
    <t>API-USER-PROFILE-003</t>
  </si>
  <si>
    <t>Fetch another user profile with permission</t>
  </si>
  <si>
    <t>TC-LF-002</t>
  </si>
  <si>
    <t>user=other ULID</t>
  </si>
  <si>
    <t>Valid token, proper role</t>
  </si>
  <si>
    <t>Login with invalid email and invalid password</t>
  </si>
  <si>
    <t>200 OK with profile data</t>
  </si>
  <si>
    <t>1. Open login page
2. Enter invalid email &amp; password
3. Click Login</t>
  </si>
  <si>
    <t>email :- invalid12@gmail.com
password :-  Invalid@1234</t>
  </si>
  <si>
    <t>Error message: “Incorrect Credentials.”</t>
  </si>
  <si>
    <t>Negative test case</t>
  </si>
  <si>
    <t>API-USER-PROFILE-004</t>
  </si>
  <si>
    <t>TC-LF-003</t>
  </si>
  <si>
    <t>Verify response body structure</t>
  </si>
  <si>
    <t>Login with invalid email and valid password</t>
  </si>
  <si>
    <t>1. Open login page
2. Enter invalid email &amp; valid password
3. Click Login</t>
  </si>
  <si>
    <t>email :- invalid12@gmail.com
password :-  Jivraj@1234</t>
  </si>
  <si>
    <t>All expected fields present</t>
  </si>
  <si>
    <t>All required firlds are present as expected</t>
  </si>
  <si>
    <t>TC-LF-004</t>
  </si>
  <si>
    <t>Login with valid email and invalid password</t>
  </si>
  <si>
    <t>1. Open login page
2. Enter valid email &amp; invalid password
3. Click Login</t>
  </si>
  <si>
    <t>email :- jeevanghimire12345@gmail.com
password :-  Invalid@1234</t>
  </si>
  <si>
    <t>API-USER-PROFILE-005</t>
  </si>
  <si>
    <t>Verify department object structure</t>
  </si>
  <si>
    <t>department contains ulid and name</t>
  </si>
  <si>
    <t>TC-LF-005</t>
  </si>
  <si>
    <t>Login without providing credentials</t>
  </si>
  <si>
    <t>1. Open login page
2. Leave email &amp; password empty
3. Click Login</t>
  </si>
  <si>
    <t>Nested object</t>
  </si>
  <si>
    <t>Blank inputs</t>
  </si>
  <si>
    <t>Validation message: “Email and Password field is required.”</t>
  </si>
  <si>
    <t>API-USER-PROFILE-006</t>
  </si>
  <si>
    <t>Verify dateOfBirth format</t>
  </si>
  <si>
    <t>TC-LF-006</t>
  </si>
  <si>
    <t>Login using keyboard keys (Tab / Enter)</t>
  </si>
  <si>
    <t>dateOfBirth in YYYY-MM-DD</t>
  </si>
  <si>
    <t>1. Open login page
2. Enter valid credentials
3. Press Enter</t>
  </si>
  <si>
    <t>Valid email &amp; password</t>
  </si>
  <si>
    <t>User should be logged in successfully</t>
  </si>
  <si>
    <t>Data format</t>
  </si>
  <si>
    <t>API-USER-PROFILE-007</t>
  </si>
  <si>
    <t>Accessibility test</t>
  </si>
  <si>
    <t>TC-LF-007</t>
  </si>
  <si>
    <t>Verify joiningDate format</t>
  </si>
  <si>
    <t>Verify “Forgot Password” link</t>
  </si>
  <si>
    <t>1. Open login page
2. Click “Forgot Password” link</t>
  </si>
  <si>
    <t>joiningDate in YYYY-MM-DD</t>
  </si>
  <si>
    <t>User redirected to Forgot Password page</t>
  </si>
  <si>
    <t>Navigation test</t>
  </si>
  <si>
    <t>TC-LF-008</t>
  </si>
  <si>
    <t>1. Open login page
2. Enter SQL injection payload
3. Click Login</t>
  </si>
  <si>
    <t>Login blocked and attempt logged</t>
  </si>
  <si>
    <t>API-USER-PROFILE-008</t>
  </si>
  <si>
    <t>TC-LF-009</t>
  </si>
  <si>
    <t>email is valid email format</t>
  </si>
  <si>
    <t>Email format is valid</t>
  </si>
  <si>
    <t>Account lock after multiple failed attempts</t>
  </si>
  <si>
    <t>1. Open login page
2. Enter wrong password 5 times</t>
  </si>
  <si>
    <t>Invalid password</t>
  </si>
  <si>
    <t>Account locked and notification sent</t>
  </si>
  <si>
    <t>Not Tested</t>
  </si>
  <si>
    <t>API-USER-PROFILE-009</t>
  </si>
  <si>
    <t>Brute-force protection</t>
  </si>
  <si>
    <t>Verify phone number format</t>
  </si>
  <si>
    <t>TC-LF-010</t>
  </si>
  <si>
    <t>Login after account unlock</t>
  </si>
  <si>
    <t>Account is locked</t>
  </si>
  <si>
    <t>1. Wait X minutes
2. Login again with valid credentials</t>
  </si>
  <si>
    <t>Valid credentials</t>
  </si>
  <si>
    <t>phone contains only digits</t>
  </si>
  <si>
    <t>Time-based unlock</t>
  </si>
  <si>
    <t>TC-LF-011</t>
  </si>
  <si>
    <t>Login with valid OTP</t>
  </si>
  <si>
    <t>OTP enabled user</t>
  </si>
  <si>
    <t>1. Enter valid credentials
2. Enter valid OTP</t>
  </si>
  <si>
    <t>Valid OTP</t>
  </si>
  <si>
    <t>Data quality</t>
  </si>
  <si>
    <t>MFA flow</t>
  </si>
  <si>
    <t>TC-LF-012</t>
  </si>
  <si>
    <t>Login with invalid OTP</t>
  </si>
  <si>
    <t>API-USER-PROFILE-010</t>
  </si>
  <si>
    <t>1. Enter valid credentials
2. Enter invalid OTP</t>
  </si>
  <si>
    <t>Invalid OTP</t>
  </si>
  <si>
    <t>Fetch user profile without authentication</t>
  </si>
  <si>
    <t>Send request without token</t>
  </si>
  <si>
    <t>MFA negative case</t>
  </si>
  <si>
    <t>TC-LF-013</t>
  </si>
  <si>
    <t>Login using Google / third-party account</t>
  </si>
  <si>
    <t>Social login enabled</t>
  </si>
  <si>
    <t>1. Click Google login
2. Authenticate</t>
  </si>
  <si>
    <t>Google account</t>
  </si>
  <si>
    <t>User logged in successfully</t>
  </si>
  <si>
    <t>SSO</t>
  </si>
  <si>
    <t>TC-LF-014</t>
  </si>
  <si>
    <t>API-USER-PROFILE-011</t>
  </si>
  <si>
    <t>Validate Login UI elements</t>
  </si>
  <si>
    <t>Fetch user profile with invalid token</t>
  </si>
  <si>
    <t>1. Open login page</t>
  </si>
  <si>
    <t>All UI elements visible &amp; aligned</t>
  </si>
  <si>
    <t>UI test</t>
  </si>
  <si>
    <t>TC-LF-015</t>
  </si>
  <si>
    <t>Auth</t>
  </si>
  <si>
    <t>Validate Forgot Password UI</t>
  </si>
  <si>
    <t>1. Open forgot password page</t>
  </si>
  <si>
    <t>API-USER-PROFILE-012</t>
  </si>
  <si>
    <t>Fetch user profile with forbidden role</t>
  </si>
  <si>
    <t>UI loads correctly</t>
  </si>
  <si>
    <t>TC-LF-016</t>
  </si>
  <si>
    <t>Validate Reset Password UI</t>
  </si>
  <si>
    <t>Reset link available</t>
  </si>
  <si>
    <t>1. Open reset password link</t>
  </si>
  <si>
    <t>API-USER-PROFILE-013</t>
  </si>
  <si>
    <t>Fetch user profile with non-existing ULID</t>
  </si>
  <si>
    <t>Reset password UI displayed</t>
  </si>
  <si>
    <t>random ULID</t>
  </si>
  <si>
    <t>TC-LF-017</t>
  </si>
  <si>
    <t>Change password on first login</t>
  </si>
  <si>
    <t>API-USER-PROFILE-014</t>
  </si>
  <si>
    <t>isGeneratedPassword = true</t>
  </si>
  <si>
    <t>Fetch user profile with invalid ULID format</t>
  </si>
  <si>
    <t>1. Login first time
2. Change password</t>
  </si>
  <si>
    <t>user=12345</t>
  </si>
  <si>
    <t>404 or validation error</t>
  </si>
  <si>
    <t>Password changed and login successful</t>
  </si>
  <si>
    <t xml:space="preserve">404 Not Found </t>
  </si>
  <si>
    <t>Path validation</t>
  </si>
  <si>
    <t>API-USER-PROFILE-015</t>
  </si>
  <si>
    <t>Mandatory flow</t>
  </si>
  <si>
    <t>Missing user parameter in URL</t>
  </si>
  <si>
    <t>TC-LF-018</t>
  </si>
  <si>
    <t>/v1/users//profile</t>
  </si>
  <si>
    <t>Login with inactive user</t>
  </si>
  <si>
    <t>—</t>
  </si>
  <si>
    <t>User is inactive</t>
  </si>
  <si>
    <t>1. Enter credentials
2. Click Login</t>
  </si>
  <si>
    <t>Login denied with proper message</t>
  </si>
  <si>
    <t>Routing</t>
  </si>
  <si>
    <t>API-USER-PROFILE-016</t>
  </si>
  <si>
    <t>Fetch profile using unsupported HTTP method</t>
  </si>
  <si>
    <t>TC-LF-019</t>
  </si>
  <si>
    <t>Rate limiting on login attempts</t>
  </si>
  <si>
    <t>1. Send multiple login requests</t>
  </si>
  <si>
    <t>Multiple attempts</t>
  </si>
  <si>
    <t>Method check</t>
  </si>
  <si>
    <t>API-USER-PROFILE-017</t>
  </si>
  <si>
    <t>Security &amp; performance</t>
  </si>
  <si>
    <t>Verify status field value</t>
  </si>
  <si>
    <t>status contains valid value (Active)</t>
  </si>
  <si>
    <t>Business rule</t>
  </si>
  <si>
    <t>API-USER-PROFILE-018</t>
  </si>
  <si>
    <t>Verify type field value</t>
  </si>
  <si>
    <t>type contains valid value (Fulltime)</t>
  </si>
  <si>
    <t>API-USER-PROFILE-019</t>
  </si>
  <si>
    <t>Verify emergency contact fields</t>
  </si>
  <si>
    <t>emergencyName &amp; emergencyContact present</t>
  </si>
  <si>
    <t>Mandatory data</t>
  </si>
  <si>
    <t>API-USER-PROFILE-020</t>
  </si>
  <si>
    <t>Verify response time</t>
  </si>
  <si>
    <t>API-USER-PROFILE-021</t>
  </si>
  <si>
    <t>Verify data privacy fields</t>
  </si>
  <si>
    <t>other ULID</t>
  </si>
  <si>
    <t>Sensitive data visible only if permitted</t>
  </si>
  <si>
    <t>Privacy</t>
  </si>
  <si>
    <t>API-USER-PROFILE-022</t>
  </si>
  <si>
    <t>Verify consistent ULID in response</t>
  </si>
  <si>
    <t>Response ulid matches requested ulid</t>
  </si>
  <si>
    <t>Update an user profile</t>
  </si>
  <si>
    <t>API-UPDATE-PROFILE-023</t>
  </si>
  <si>
    <t>Update user profile with all valid fields</t>
  </si>
  <si>
    <t>All valid fields</t>
  </si>
  <si>
    <t>Send PATCH request with valid body</t>
  </si>
  <si>
    <t>200 OK with updated profile</t>
  </si>
  <si>
    <t>Profile detail updated successfully</t>
  </si>
  <si>
    <t>API-UPDATE-PROFILE-024</t>
  </si>
  <si>
    <t>Update only partial fields</t>
  </si>
  <si>
    <t>phone, address</t>
  </si>
  <si>
    <t>Send request with partial body</t>
  </si>
  <si>
    <t>200 OK, unchanged fields preserved</t>
  </si>
  <si>
    <t>Only phone and address updated other remains preserved</t>
  </si>
  <si>
    <t>Partial update</t>
  </si>
  <si>
    <t>API-UPDATE-PROFILE-025</t>
  </si>
  <si>
    <t>Update own profile</t>
  </si>
  <si>
    <t>valid body</t>
  </si>
  <si>
    <t>Valid token, self ULID</t>
  </si>
  <si>
    <t>Self update</t>
  </si>
  <si>
    <t>API-UPDATE-PROFILE-026</t>
  </si>
  <si>
    <t>Update another user profile with permission</t>
  </si>
  <si>
    <t>TC-RF-001</t>
  </si>
  <si>
    <t>Admin/authorized role</t>
  </si>
  <si>
    <t>Valid user registration</t>
  </si>
  <si>
    <t xml:space="preserve">Admin can update another user profile </t>
  </si>
  <si>
    <t>Application accessible</t>
  </si>
  <si>
    <t>1. Open Registration page
2. Fill all required fields
3. Click Submit / Signup / Register</t>
  </si>
  <si>
    <t>Valid user details</t>
  </si>
  <si>
    <t>Account created successfully and success message displayed</t>
  </si>
  <si>
    <t>API-UPDATE-PROFILE-027</t>
  </si>
  <si>
    <t>Verify updated values reflected in response</t>
  </si>
  <si>
    <t>modified phone</t>
  </si>
  <si>
    <t>Response shows updated phone</t>
  </si>
  <si>
    <t>TC-RF-002</t>
  </si>
  <si>
    <t>Registration with duplicate email</t>
  </si>
  <si>
    <t>API-UPDATE-PROFILE-028</t>
  </si>
  <si>
    <t>User already registered with email</t>
  </si>
  <si>
    <t>1. Open Registration page
2. Fill all required fields
3. Enter already registered email
4. Click Submit</t>
  </si>
  <si>
    <t>Verify department object after update</t>
  </si>
  <si>
    <t>Existing email</t>
  </si>
  <si>
    <t>Error message: “Email already registered”</t>
  </si>
  <si>
    <t>department ulid</t>
  </si>
  <si>
    <t>department object updated correctly</t>
  </si>
  <si>
    <t>TC-RF-003</t>
  </si>
  <si>
    <t>Registration with weak password</t>
  </si>
  <si>
    <t>1. Open Registration page
2. Fill all required fields
3. Enter weak password
4. Click Submit</t>
  </si>
  <si>
    <t>API-UPDATE-PROFILE-029</t>
  </si>
  <si>
    <t>Weak password</t>
  </si>
  <si>
    <t>Update profile without authentication</t>
  </si>
  <si>
    <t>Password validation message displayed (e.g., “Password must contain uppercase, number, special character”)</t>
  </si>
  <si>
    <t>Uauthorized message displayed</t>
  </si>
  <si>
    <t>TC-RF-004</t>
  </si>
  <si>
    <t>Submit form with empty mandatory fields</t>
  </si>
  <si>
    <t>1. Open Registration page
2. Leave mandatory fields empty
3. Click Submit</t>
  </si>
  <si>
    <t>Blank fields</t>
  </si>
  <si>
    <t>Validation message: “XXX cannot be empty”</t>
  </si>
  <si>
    <t>API-UPDATE-PROFILE-030</t>
  </si>
  <si>
    <t>Update profile with invalid token</t>
  </si>
  <si>
    <t>TC-RF-005</t>
  </si>
  <si>
    <t>Unauthorized  message dispalyed</t>
  </si>
  <si>
    <t>Validate Registration page UI</t>
  </si>
  <si>
    <t>1. Open Registration page</t>
  </si>
  <si>
    <t>Registration UI follows UI checklist (alignment, labels, placeholders)</t>
  </si>
  <si>
    <t>API-UPDATE-PROFILE-031</t>
  </si>
  <si>
    <t>Update profile with forbidden role</t>
  </si>
  <si>
    <t>TC-RF-006</t>
  </si>
  <si>
    <t>Password and confirm password mismatch</t>
  </si>
  <si>
    <t>Unauthorized role</t>
  </si>
  <si>
    <t>1. Open Registration page
2. Enter password and mismatched confirm password
3. Click Submit</t>
  </si>
  <si>
    <t>Password mismatch</t>
  </si>
  <si>
    <t>Error message displayed for password mismatch</t>
  </si>
  <si>
    <t>Common validation</t>
  </si>
  <si>
    <t>TC-RF-007</t>
  </si>
  <si>
    <t>Invalid email format</t>
  </si>
  <si>
    <t>API-UPDATE-PROFILE-032</t>
  </si>
  <si>
    <t>1. Open Registration page
2. Enter invalid email format
3. Click Submit</t>
  </si>
  <si>
    <t>Invalid email</t>
  </si>
  <si>
    <t>Update profile for non-existing user</t>
  </si>
  <si>
    <t>Email format validation message displayed</t>
  </si>
  <si>
    <t>404 Not Found as expected</t>
  </si>
  <si>
    <t>Regex validation</t>
  </si>
  <si>
    <t>TC-RF-008</t>
  </si>
  <si>
    <t>Terms &amp; Conditions not accepted</t>
  </si>
  <si>
    <t>1. Open Registration page
2. Fill form without accepting T&amp;C
3. Click Submit</t>
  </si>
  <si>
    <t>T&amp;C unchecked</t>
  </si>
  <si>
    <t>Error message prompting to accept Terms &amp; Conditions</t>
  </si>
  <si>
    <t>API-UPDATE-PROFILE-033</t>
  </si>
  <si>
    <t>Update profile with invalid ULID format</t>
  </si>
  <si>
    <t>user=123</t>
  </si>
  <si>
    <t>404 or 422 error</t>
  </si>
  <si>
    <t>TC-RF-009</t>
  </si>
  <si>
    <t>Email verification after registration</t>
  </si>
  <si>
    <t>Email service enabled</t>
  </si>
  <si>
    <t>1. Complete registration2. Check email inbox</t>
  </si>
  <si>
    <t>Valid email</t>
  </si>
  <si>
    <t>Verification email sent successfully</t>
  </si>
  <si>
    <t>API-UPDATE-PROFILE-034</t>
  </si>
  <si>
    <t>Post-registration flow</t>
  </si>
  <si>
    <t>TC-RF-010</t>
  </si>
  <si>
    <t>SQL injection attempt during registration</t>
  </si>
  <si>
    <t>1. Open Registration page
2. Enter SQL payload in input fields
3. Click Submit</t>
  </si>
  <si>
    <t>Registration blocked and attempt logged</t>
  </si>
  <si>
    <t>TC-RF-011</t>
  </si>
  <si>
    <t>Email field minimum length</t>
  </si>
  <si>
    <t>1. Open Registration page
2. Enter minimum valid email length
3. Submit form</t>
  </si>
  <si>
    <r>
      <rPr>
        <rFont val="Inter"/>
        <color rgb="FF1155CC"/>
        <sz val="12.0"/>
        <u/>
      </rPr>
      <t>a@b.co</t>
    </r>
  </si>
  <si>
    <t>API-UPDATE-PROFILE-035</t>
  </si>
  <si>
    <t>Missing required fields</t>
  </si>
  <si>
    <t>empty body</t>
  </si>
  <si>
    <t>422 Validation error</t>
  </si>
  <si>
    <t>Validation error for mandatory field displayed</t>
  </si>
  <si>
    <t>Required fields</t>
  </si>
  <si>
    <t>Registration allowed</t>
  </si>
  <si>
    <t>API-UPDATE-PROFILE-036</t>
  </si>
  <si>
    <t>email=invalid</t>
  </si>
  <si>
    <t>Boundary validation</t>
  </si>
  <si>
    <t>TC-RF-012</t>
  </si>
  <si>
    <t>Email field maximum length</t>
  </si>
  <si>
    <t>1. Open Registration page
2. Enter email exceeding max length
3. Submit form</t>
  </si>
  <si>
    <t>256+ characters email</t>
  </si>
  <si>
    <t>API-UPDATE-PROFILE-037</t>
  </si>
  <si>
    <t>Validation error displayed</t>
  </si>
  <si>
    <t>Invalid phone number format</t>
  </si>
  <si>
    <t>phone=abcd</t>
  </si>
  <si>
    <t>RFC compliance</t>
  </si>
  <si>
    <t>TC-RF-013</t>
  </si>
  <si>
    <t>Password minimum length</t>
  </si>
  <si>
    <t>1. Open Registration page
2. Enter password with minimum allowed characters
3. Submit</t>
  </si>
  <si>
    <t>API-UPDATE-PROFILE-038</t>
  </si>
  <si>
    <t>Invalid dateOfBirth format</t>
  </si>
  <si>
    <t>dateOfBirth=15-05-1990</t>
  </si>
  <si>
    <t>TC-RF-014</t>
  </si>
  <si>
    <t>Date format</t>
  </si>
  <si>
    <t>Password below minimum length</t>
  </si>
  <si>
    <t>1. Open Registration page
2. Enter password below min length
3. Submit</t>
  </si>
  <si>
    <t>Password validation error displayed</t>
  </si>
  <si>
    <t>API-UPDATE-PROFILE-039</t>
  </si>
  <si>
    <t>Future dateOfBirth</t>
  </si>
  <si>
    <t>future DOB</t>
  </si>
  <si>
    <t>Negative BVA</t>
  </si>
  <si>
    <t>TC-RF-015</t>
  </si>
  <si>
    <t>Future date is allowed for DOB</t>
  </si>
  <si>
    <t>Maximum length for name field</t>
  </si>
  <si>
    <t>1. Open Registration page
2. Enter max allowed characters in name field
3. Submit</t>
  </si>
  <si>
    <t>Max-length name</t>
  </si>
  <si>
    <t>API-UPDATE-PROFILE-040</t>
  </si>
  <si>
    <t>Invalid gender value</t>
  </si>
  <si>
    <t>gender=unknown</t>
  </si>
  <si>
    <t>Text field limit</t>
  </si>
  <si>
    <t>TC-RF-016</t>
  </si>
  <si>
    <t>Exceed maximum length for name field</t>
  </si>
  <si>
    <t>1. Open Registration page
2. Enter name exceeding max limit
3. Submit</t>
  </si>
  <si>
    <t>256+ chars</t>
  </si>
  <si>
    <t>Enum</t>
  </si>
  <si>
    <t>API-UPDATE-PROFILE-041</t>
  </si>
  <si>
    <t>Invalid status value</t>
  </si>
  <si>
    <t>status=Inactivee</t>
  </si>
  <si>
    <t>Input overflow</t>
  </si>
  <si>
    <t>TC-RF-017</t>
  </si>
  <si>
    <t>Whitespace-only input</t>
  </si>
  <si>
    <t>1. Open Registration page
2. Enter spaces in required fields
3. Submit</t>
  </si>
  <si>
    <t>API-UPDATE-PROFILE-042</t>
  </si>
  <si>
    <t>" "</t>
  </si>
  <si>
    <t>type=Contractor</t>
  </si>
  <si>
    <t>Input sanitization</t>
  </si>
  <si>
    <t>API-UPDATE-PROFILE-043</t>
  </si>
  <si>
    <t>TC-RF-018</t>
  </si>
  <si>
    <t>Extra unknown fields in request</t>
  </si>
  <si>
    <t>extraField=test</t>
  </si>
  <si>
    <t>Ignored or 422 error</t>
  </si>
  <si>
    <t>Ignored as expected</t>
  </si>
  <si>
    <t>Special characters in name field</t>
  </si>
  <si>
    <t>Robustness</t>
  </si>
  <si>
    <t>1. Open Registration page
2. Enter special characters in name
3. Submit</t>
  </si>
  <si>
    <t>API-UPDATE-PROFILE-044</t>
  </si>
  <si>
    <t>@#$%^&amp;*</t>
  </si>
  <si>
    <t>Validation error or sanitization applied</t>
  </si>
  <si>
    <t>Response matches expected schema</t>
  </si>
  <si>
    <t>Security &amp; validation</t>
  </si>
  <si>
    <t>Contract</t>
  </si>
  <si>
    <t>TC-RF-019</t>
  </si>
  <si>
    <t>API-UPDATE-PROFILE-045</t>
  </si>
  <si>
    <t>Page load time for registration page</t>
  </si>
  <si>
    <t>Stable network</t>
  </si>
  <si>
    <t>updated phone</t>
  </si>
  <si>
    <t>Fetch profile again</t>
  </si>
  <si>
    <t>Page loads within acceptable time (≤ 3 sec)</t>
  </si>
  <si>
    <t>Updated data persists</t>
  </si>
  <si>
    <t>Performance baseline</t>
  </si>
  <si>
    <t>DB consistency</t>
  </si>
  <si>
    <t>TC-RF-020</t>
  </si>
  <si>
    <t>Registration submission response time</t>
  </si>
  <si>
    <t>Backend available</t>
  </si>
  <si>
    <t>API-UPDATE-PROFILE-046</t>
  </si>
  <si>
    <t>1. Submit valid registration form</t>
  </si>
  <si>
    <t>Valid data</t>
  </si>
  <si>
    <t>Registration completes within acceptable SLA</t>
  </si>
  <si>
    <t>TC-RF-021</t>
  </si>
  <si>
    <t>Concurrent user registrations</t>
  </si>
  <si>
    <t>Load test setup</t>
  </si>
  <si>
    <t>1. Trigger multiple parallel registrations</t>
  </si>
  <si>
    <t>100+ users</t>
  </si>
  <si>
    <t>System handles load without failure</t>
  </si>
  <si>
    <t>Update user profession details</t>
  </si>
  <si>
    <t>TC-RF-022</t>
  </si>
  <si>
    <t>Stress test registration API</t>
  </si>
  <si>
    <t>Stress tools available</t>
  </si>
  <si>
    <t>1. Send excessive registration requests</t>
  </si>
  <si>
    <t>API-UPDATE-PROFESSION-047</t>
  </si>
  <si>
    <t>High traffic</t>
  </si>
  <si>
    <t>System throttles or rejects gracefully</t>
  </si>
  <si>
    <t>Update profession details with valid data</t>
  </si>
  <si>
    <t>/v1/users/{user}/profession</t>
  </si>
  <si>
    <t>User logged in, valid token</t>
  </si>
  <si>
    <t>Stress &amp; stability</t>
  </si>
  <si>
    <t>Send PUT request with valid body</t>
  </si>
  <si>
    <t>TC-RF-023</t>
  </si>
  <si>
    <t>200 OK with updated profession data</t>
  </si>
  <si>
    <t>Profession details updated successfully</t>
  </si>
  <si>
    <t>Rate limiting on registration attempts</t>
  </si>
  <si>
    <t>1. Submit registration repeatedly</t>
  </si>
  <si>
    <t>Rapid requests</t>
  </si>
  <si>
    <t>Rate limit error displayed</t>
  </si>
  <si>
    <t>API-UPDATE-PROFESSION-048</t>
  </si>
  <si>
    <t>Update only job title</t>
  </si>
  <si>
    <t>TC-RF-024</t>
  </si>
  <si>
    <t>jobTitle only</t>
  </si>
  <si>
    <t>Database performance during registration</t>
  </si>
  <si>
    <t>200 OK, jobTitle updated</t>
  </si>
  <si>
    <t>DB connected</t>
  </si>
  <si>
    <t>jobTitle updated successfully</t>
  </si>
  <si>
    <t>1. Submit valid registration</t>
  </si>
  <si>
    <t>No DB timeout or deadlock</t>
  </si>
  <si>
    <t>Backend stability</t>
  </si>
  <si>
    <t>API-UPDATE-PROFESSION-049</t>
  </si>
  <si>
    <t>Update department using valid department ULID</t>
  </si>
  <si>
    <t>departmentUlid valid</t>
  </si>
  <si>
    <t>200 OK, department updated</t>
  </si>
  <si>
    <t>Department updated successfully</t>
  </si>
  <si>
    <t>Foreign key</t>
  </si>
  <si>
    <t>API-UPDATE-PROFESSION-050</t>
  </si>
  <si>
    <t>Update status and type with valid codes</t>
  </si>
  <si>
    <t>status=0, type=2</t>
  </si>
  <si>
    <t>200 OK, mapped values returned</t>
  </si>
  <si>
    <t>Mapped values returned as expected</t>
  </si>
  <si>
    <t>Enum mapping</t>
  </si>
  <si>
    <t>API-UPDATE-PROFESSION-051</t>
  </si>
  <si>
    <t>Verify response contains mapped status &amp; type</t>
  </si>
  <si>
    <t>status &amp; type returned as strings</t>
  </si>
  <si>
    <t>Mapping validation</t>
  </si>
  <si>
    <t>API-UPDATE-PROFESSION-052</t>
  </si>
  <si>
    <t>Update joining date with valid date</t>
  </si>
  <si>
    <t>joiningDate valid</t>
  </si>
  <si>
    <t>200 OK, joiningDate updated</t>
  </si>
  <si>
    <t>Date validation</t>
  </si>
  <si>
    <t>API-UPDATE-PROFESSION-053</t>
  </si>
  <si>
    <t>Update profession without authentication</t>
  </si>
  <si>
    <t>API-UPDATE-PROFESSION-054</t>
  </si>
  <si>
    <t>Update profession with invalid token</t>
  </si>
  <si>
    <t>API-UPDATE-PROFESSION-055</t>
  </si>
  <si>
    <t>Update profession with forbidden role</t>
  </si>
  <si>
    <t>s</t>
  </si>
  <si>
    <t>API-UPDATE-PROFESSION-056</t>
  </si>
  <si>
    <t>Update profession for non-existing user</t>
  </si>
  <si>
    <t>TC-PM-001</t>
  </si>
  <si>
    <t>Check Minimum length</t>
  </si>
  <si>
    <t>API-UPDATE-PROFESSION-057</t>
  </si>
  <si>
    <t>Update profession with invalid user ULID</t>
  </si>
  <si>
    <t>Password policy enabled</t>
  </si>
  <si>
    <t>Enter &lt; 8 characters</t>
  </si>
  <si>
    <t>abc@12</t>
  </si>
  <si>
    <t>Show password length error</t>
  </si>
  <si>
    <t>Not found returned</t>
  </si>
  <si>
    <t>API-UPDATE-PROFESSION-058</t>
  </si>
  <si>
    <t>TC-PM-002</t>
  </si>
  <si>
    <t>API-UPDATE-PROFESSION-059</t>
  </si>
  <si>
    <t>Invalid department ULID</t>
  </si>
  <si>
    <t>Special Character Check</t>
  </si>
  <si>
    <t>departmentUlid invalid</t>
  </si>
  <si>
    <t>Enter password without special character</t>
  </si>
  <si>
    <t>Abcdef12</t>
  </si>
  <si>
    <t>Error shown</t>
  </si>
  <si>
    <t>TC-PM-003</t>
  </si>
  <si>
    <t>First Login Forced Password Change</t>
  </si>
  <si>
    <t>New user</t>
  </si>
  <si>
    <t>Login first time</t>
  </si>
  <si>
    <t>Redirect to change password page</t>
  </si>
  <si>
    <t>FK validation</t>
  </si>
  <si>
    <t>TC-PM-004</t>
  </si>
  <si>
    <t>API-UPDATE-PROFESSION-060</t>
  </si>
  <si>
    <t>Prevent Password Reuse</t>
  </si>
  <si>
    <t>Password history exists</t>
  </si>
  <si>
    <t>Try old password</t>
  </si>
  <si>
    <t>Previous password</t>
  </si>
  <si>
    <t>Error: Cannot reuse previous password</t>
  </si>
  <si>
    <t>Invalid status code</t>
  </si>
  <si>
    <t>TC-PM-005</t>
  </si>
  <si>
    <t>status=9999</t>
  </si>
  <si>
    <t>Password Expiry</t>
  </si>
  <si>
    <t>Password expired</t>
  </si>
  <si>
    <t>Login</t>
  </si>
  <si>
    <t>Valid password</t>
  </si>
  <si>
    <t>Force change password</t>
  </si>
  <si>
    <t>Boundary Test Cases</t>
  </si>
  <si>
    <t>API-UPDATE-PROFESSION-061</t>
  </si>
  <si>
    <t>Invalid type code</t>
  </si>
  <si>
    <t>type=1111</t>
  </si>
  <si>
    <t>TC-PM-006</t>
  </si>
  <si>
    <t>Min length = 8 chars</t>
  </si>
  <si>
    <t>Policy enabled</t>
  </si>
  <si>
    <t>Enter exactly 8 chars</t>
  </si>
  <si>
    <t>Ab@12345</t>
  </si>
  <si>
    <t>Accepted</t>
  </si>
  <si>
    <t>API-UPDATE-PROFESSION-062</t>
  </si>
  <si>
    <t>Status value as string</t>
  </si>
  <si>
    <t>status="Active"</t>
  </si>
  <si>
    <t>Data type</t>
  </si>
  <si>
    <t>TC-PM-007</t>
  </si>
  <si>
    <t>API-UPDATE-PROFESSION-063</t>
  </si>
  <si>
    <t>Min length = 7 chars</t>
  </si>
  <si>
    <t>Type value as string</t>
  </si>
  <si>
    <t>Enter 7 chars</t>
  </si>
  <si>
    <t>Ab@1234</t>
  </si>
  <si>
    <t>type="Fulltime"</t>
  </si>
  <si>
    <t>Length error</t>
  </si>
  <si>
    <t>TC-PM-008</t>
  </si>
  <si>
    <t>Max length allowed</t>
  </si>
  <si>
    <t>Enter max length</t>
  </si>
  <si>
    <t>64 chars</t>
  </si>
  <si>
    <t>API-UPDATE-PROFESSION-064</t>
  </si>
  <si>
    <t>Future joiningDate</t>
  </si>
  <si>
    <t>future date</t>
  </si>
  <si>
    <t>TC-PM-009</t>
  </si>
  <si>
    <t>Future date is allowed</t>
  </si>
  <si>
    <t>Max length exceeded</t>
  </si>
  <si>
    <t>Enter &gt; max</t>
  </si>
  <si>
    <t>65+ chars</t>
  </si>
  <si>
    <t>Length exceeded error</t>
  </si>
  <si>
    <t>API-UPDATE-PROFESSION-065</t>
  </si>
  <si>
    <t>TC-PM-010</t>
  </si>
  <si>
    <t>Exactly 1 special char</t>
  </si>
  <si>
    <t>Enter password</t>
  </si>
  <si>
    <t>Abcdef@1</t>
  </si>
  <si>
    <t>Ignored or 400/422 error</t>
  </si>
  <si>
    <t>Ignored</t>
  </si>
  <si>
    <t>API-UPDATE-PROFESSION-066</t>
  </si>
  <si>
    <t>TC-PM-011</t>
  </si>
  <si>
    <t>No special char</t>
  </si>
  <si>
    <t>API-UPDATE-PROFESSION-067</t>
  </si>
  <si>
    <t>Verify profession data persistence</t>
  </si>
  <si>
    <t>TC-PM-012</t>
  </si>
  <si>
    <t>Old password reuse boundary</t>
  </si>
  <si>
    <t>History exists</t>
  </si>
  <si>
    <t>Try last password</t>
  </si>
  <si>
    <t>Previous</t>
  </si>
  <si>
    <t>Reuse blocked</t>
  </si>
  <si>
    <t>updated values</t>
  </si>
  <si>
    <t>Updated profession persists</t>
  </si>
  <si>
    <t>TC-PM-013</t>
  </si>
  <si>
    <t>Expiry on last valid day</t>
  </si>
  <si>
    <t>Expiring today</t>
  </si>
  <si>
    <t>Login + warning</t>
  </si>
  <si>
    <t>TC-PM-014</t>
  </si>
  <si>
    <t>API-UPDATE-PROFESSION-068</t>
  </si>
  <si>
    <t>Expired by 1 day</t>
  </si>
  <si>
    <t>Force reset</t>
  </si>
  <si>
    <t>Performance &amp; Load Test Cases</t>
  </si>
  <si>
    <t>TC-PM-015</t>
  </si>
  <si>
    <t>Password validation response time</t>
  </si>
  <si>
    <t>Normal system</t>
  </si>
  <si>
    <t>Show list of user by role</t>
  </si>
  <si>
    <t>Submit password</t>
  </si>
  <si>
    <t>Single user</t>
  </si>
  <si>
    <t>≤ 2 sec response</t>
  </si>
  <si>
    <t>TC-PM-016</t>
  </si>
  <si>
    <t>Concurrent password changes</t>
  </si>
  <si>
    <t>System stable</t>
  </si>
  <si>
    <t>API-USER-ROLE-069</t>
  </si>
  <si>
    <t>Change password</t>
  </si>
  <si>
    <t>100 users</t>
  </si>
  <si>
    <t>Fetch user list with valid role</t>
  </si>
  <si>
    <t>No crash</t>
  </si>
  <si>
    <t>/v1/users/list?role=manager</t>
  </si>
  <si>
    <t>role=user</t>
  </si>
  <si>
    <t>200 OK, array of users with role=user</t>
  </si>
  <si>
    <t>All the users with user role are displayed</t>
  </si>
  <si>
    <t>TC-PM-017</t>
  </si>
  <si>
    <t>First login password change load</t>
  </si>
  <si>
    <t>New users exist</t>
  </si>
  <si>
    <t>50 users</t>
  </si>
  <si>
    <t>All redirected correctly</t>
  </si>
  <si>
    <t>TC-PM-018</t>
  </si>
  <si>
    <t>Password reuse check performance</t>
  </si>
  <si>
    <t>API-USER-ROLE-070</t>
  </si>
  <si>
    <t>History enabled</t>
  </si>
  <si>
    <t>Fetch user list with another valid role</t>
  </si>
  <si>
    <t>Reuse attempts</t>
  </si>
  <si>
    <t>/v1/users/list?role=admin</t>
  </si>
  <si>
    <t>20 attempts</t>
  </si>
  <si>
    <t>role=admin</t>
  </si>
  <si>
    <t>Stable response</t>
  </si>
  <si>
    <t>200 OK, array of users with role=admin</t>
  </si>
  <si>
    <t>User with admin role displayed</t>
  </si>
  <si>
    <t>TC-PM-019</t>
  </si>
  <si>
    <t>Expired password under load</t>
  </si>
  <si>
    <t>Many expired accounts</t>
  </si>
  <si>
    <t>Forced reset</t>
  </si>
  <si>
    <t>API-USER-ROLE-071</t>
  </si>
  <si>
    <t>/v1/users/list?role=hr</t>
  </si>
  <si>
    <t>role=hr</t>
  </si>
  <si>
    <t>Each user contains ulid, fullName, email, dateOfBirth, gender, phone, address, jobTitle, status, type, joiningDate, emergencyName, emergencyContact, department</t>
  </si>
  <si>
    <t>All required schema are displayed</t>
  </si>
  <si>
    <t>TC-PM-020</t>
  </si>
  <si>
    <t>Stress – password validation</t>
  </si>
  <si>
    <t>High load</t>
  </si>
  <si>
    <t>Rapid submits</t>
  </si>
  <si>
    <t>API-USER-ROLE-072</t>
  </si>
  <si>
    <t>500 req/min</t>
  </si>
  <si>
    <t>Role parameter missing</t>
  </si>
  <si>
    <t>No errors</t>
  </si>
  <si>
    <t>/v1/users/list</t>
  </si>
  <si>
    <t>role not provided</t>
  </si>
  <si>
    <t xml:space="preserve">422 Unprocessable Entity </t>
  </si>
  <si>
    <t>Security Test Cases (Brute Force, Abuse)</t>
  </si>
  <si>
    <t>API-USER-ROLE-073</t>
  </si>
  <si>
    <t>Role parameter empty</t>
  </si>
  <si>
    <t>TC-PM-021</t>
  </si>
  <si>
    <t>/v1/users/list?role=</t>
  </si>
  <si>
    <t>role=""</t>
  </si>
  <si>
    <t>Brute force – repeated failures</t>
  </si>
  <si>
    <t>Account exists</t>
  </si>
  <si>
    <t>423 Unprocessable Entity</t>
  </si>
  <si>
    <t>Wrong password repeatedly</t>
  </si>
  <si>
    <t>5–10 attempts</t>
  </si>
  <si>
    <t>Account locked / CAPTCHA</t>
  </si>
  <si>
    <t>API-USER-ROLE-074</t>
  </si>
  <si>
    <t>Invalid role value</t>
  </si>
  <si>
    <t>/v1/users/list?role=invalidrole</t>
  </si>
  <si>
    <t>role=invalidrole</t>
  </si>
  <si>
    <t>TC-PM-022</t>
  </si>
  <si>
    <t>422 Unprocessable Entity or empty array</t>
  </si>
  <si>
    <t>Rapid login attempts</t>
  </si>
  <si>
    <t>Send rapid requests</t>
  </si>
  <si>
    <t>20/min</t>
  </si>
  <si>
    <t>Requests throttled</t>
  </si>
  <si>
    <t>API-USER-ROLE-075</t>
  </si>
  <si>
    <t>Fetch user list without authentication</t>
  </si>
  <si>
    <t>TC-PM-023</t>
  </si>
  <si>
    <t>returned unauthorized</t>
  </si>
  <si>
    <t>Login during lockout</t>
  </si>
  <si>
    <t>Account locked</t>
  </si>
  <si>
    <t>Correct password</t>
  </si>
  <si>
    <t>API-USER-ROLE-076</t>
  </si>
  <si>
    <t>Login blocked</t>
  </si>
  <si>
    <t>Fetch user list with invalid token</t>
  </si>
  <si>
    <t>TC-PM-024</t>
  </si>
  <si>
    <t>Login after lock expiry</t>
  </si>
  <si>
    <t>Lock expired</t>
  </si>
  <si>
    <t>Valid creds</t>
  </si>
  <si>
    <t>Login allowed</t>
  </si>
  <si>
    <t>API-USER-ROLE-077</t>
  </si>
  <si>
    <t>Fetch user list with forbidden role</t>
  </si>
  <si>
    <t>Valid token, insufficient permission</t>
  </si>
  <si>
    <t>API-USER-ROLE-078</t>
  </si>
  <si>
    <t>Fetch user list for non-existing role</t>
  </si>
  <si>
    <t>/v1/users/list?role=ghost</t>
  </si>
  <si>
    <t>TC-PM-025</t>
  </si>
  <si>
    <t>role=ghost</t>
  </si>
  <si>
    <t>Distributed brute force</t>
  </si>
  <si>
    <t>Multiple IPs</t>
  </si>
  <si>
    <t>Wrong attempts</t>
  </si>
  <si>
    <t>Blocked</t>
  </si>
  <si>
    <t>API-USER-ROLE-079</t>
  </si>
  <si>
    <t>Special characters in role parameter</t>
  </si>
  <si>
    <t>Weak Password Patterns</t>
  </si>
  <si>
    <t>/v1/users/list?role=@dm!n</t>
  </si>
  <si>
    <t>role=@dm!n</t>
  </si>
  <si>
    <t>TC-PM-026</t>
  </si>
  <si>
    <t>All numeric password</t>
  </si>
  <si>
    <t>API-USER-ROLE-080</t>
  </si>
  <si>
    <t>SQL injection attempt in role parameter</t>
  </si>
  <si>
    <t>Weak password error</t>
  </si>
  <si>
    <t>/v1/users/list?role=admin' OR 1=1</t>
  </si>
  <si>
    <t>role="admin' OR 1=1"</t>
  </si>
  <si>
    <t>API-USER-ROLE-081</t>
  </si>
  <si>
    <t>TC-PM-027</t>
  </si>
  <si>
    <t>Script injection attempt in role parameter</t>
  </si>
  <si>
    <t>All alphabetic password</t>
  </si>
  <si>
    <t>abcdefgh</t>
  </si>
  <si>
    <t>TC-PM-028</t>
  </si>
  <si>
    <t>Repeated characters</t>
  </si>
  <si>
    <t>API-USER-ROLE-082</t>
  </si>
  <si>
    <t>aaaaaa@1</t>
  </si>
  <si>
    <t>TC-PM-029</t>
  </si>
  <si>
    <t>Sequential pattern</t>
  </si>
  <si>
    <t>API-USER-ROLE-083</t>
  </si>
  <si>
    <t>Abc@1234</t>
  </si>
  <si>
    <t>Large number of users returned</t>
  </si>
  <si>
    <t>Valid token, many users exist</t>
  </si>
  <si>
    <t>Response handles pagination or returns full list</t>
  </si>
  <si>
    <t>TC-PM-030</t>
  </si>
  <si>
    <t>Performance/Scalability</t>
  </si>
  <si>
    <t>Keyboard pattern</t>
  </si>
  <si>
    <t>Qwerty@1</t>
  </si>
  <si>
    <t>API-USER-ROLE-084</t>
  </si>
  <si>
    <t>Verify department object for each user</t>
  </si>
  <si>
    <t>Each user has department object with ulid &amp; name</t>
  </si>
  <si>
    <t>TC-PM-031</t>
  </si>
  <si>
    <t>Common password</t>
  </si>
  <si>
    <t>Password@1</t>
  </si>
  <si>
    <t>Nested object check</t>
  </si>
  <si>
    <t>Get Paginated List Of User</t>
  </si>
  <si>
    <t>Context-Aware &amp; Injection Security</t>
  </si>
  <si>
    <t>API-GET-PAG-USER-LST-085</t>
  </si>
  <si>
    <t>TC-PM-032</t>
  </si>
  <si>
    <t>Fetch users with default pagination</t>
  </si>
  <si>
    <t>Password = email</t>
  </si>
  <si>
    <t>/v1/users</t>
  </si>
  <si>
    <t>page=1, perPage=2</t>
  </si>
  <si>
    <t>Users exist in DB</t>
  </si>
  <si>
    <t>TC-PM-033</t>
  </si>
  <si>
    <t>Password contains username</t>
  </si>
  <si>
    <t>Staus Code "200 OK", returns user list</t>
  </si>
  <si>
    <t>User list fetched successfully</t>
  </si>
  <si>
    <t>TC-PM-034</t>
  </si>
  <si>
    <t>Case-insensitive reuse</t>
  </si>
  <si>
    <t>Functional</t>
  </si>
  <si>
    <t>API-GET-PAG-USER-LST-086</t>
  </si>
  <si>
    <t>TC-PM-035</t>
  </si>
  <si>
    <t>Trimmed password bypass</t>
  </si>
  <si>
    <t>page=1</t>
  </si>
  <si>
    <t>Trim + validate</t>
  </si>
  <si>
    <t>Response contains items[] and meta[]</t>
  </si>
  <si>
    <t>API-GET-PAG-USER-LST-087</t>
  </si>
  <si>
    <t>Validate user object fields</t>
  </si>
  <si>
    <t>TC-PM-036</t>
  </si>
  <si>
    <t>Each user contains all expected fields</t>
  </si>
  <si>
    <t>SQL injection attempt</t>
  </si>
  <si>
    <t>Rejected safely</t>
  </si>
  <si>
    <t>API-GET-PAG-USER-LST-088</t>
  </si>
  <si>
    <t>Validate department object structure</t>
  </si>
  <si>
    <t>department contains ulid &amp; name</t>
  </si>
  <si>
    <t>TC-PM-037</t>
  </si>
  <si>
    <t>Script injection</t>
  </si>
  <si>
    <t>API-GET-PAG-USER-LST-089</t>
  </si>
  <si>
    <t>Sanitized</t>
  </si>
  <si>
    <t>Search by name</t>
  </si>
  <si>
    <t>name=Ram</t>
  </si>
  <si>
    <t>Users with matching name exist</t>
  </si>
  <si>
    <t>Only users matching "Ram" returned</t>
  </si>
  <si>
    <t>TC-PM-038</t>
  </si>
  <si>
    <t>API-GET-PAG-USER-LST-090</t>
  </si>
  <si>
    <t>Search by department</t>
  </si>
  <si>
    <t>department=Finance</t>
  </si>
  <si>
    <t>Finance dept users exist</t>
  </si>
  <si>
    <t>Only Finance users returned</t>
  </si>
  <si>
    <t>Unicode homoglyph</t>
  </si>
  <si>
    <t>API-GET-PAG-USER-LST-091</t>
  </si>
  <si>
    <t>Combined filter (name + department)</t>
  </si>
  <si>
    <t>TC-PM-039</t>
  </si>
  <si>
    <t>Very long payload</t>
  </si>
  <si>
    <t>name=Ram, department=Finance</t>
  </si>
  <si>
    <t>Safely rejected</t>
  </si>
  <si>
    <t>Matching users exist</t>
  </si>
  <si>
    <t>Returns filtered result correctly</t>
  </si>
  <si>
    <t>TC-PM-040</t>
  </si>
  <si>
    <t>Missing password</t>
  </si>
  <si>
    <t>API-GET-PAG-USER-LST-092</t>
  </si>
  <si>
    <t>Validate page number</t>
  </si>
  <si>
    <t>page=2</t>
  </si>
  <si>
    <t>Returns second page records</t>
  </si>
  <si>
    <t>Session &amp; Token Security</t>
  </si>
  <si>
    <t>API-GET-PAG-USER-LST-093</t>
  </si>
  <si>
    <t>Validate perPage limit</t>
  </si>
  <si>
    <t>perPage=5</t>
  </si>
  <si>
    <t>Max 5 records returned</t>
  </si>
  <si>
    <t>TC-PM-041</t>
  </si>
  <si>
    <t>Session invalidation after change</t>
  </si>
  <si>
    <t>All sessions invalidated</t>
  </si>
  <si>
    <t>API-GET-PAG-USER-LST-094</t>
  </si>
  <si>
    <t>Validate lastPage calculation</t>
  </si>
  <si>
    <t>page=lastPage</t>
  </si>
  <si>
    <t>meta.lastPage correct</t>
  </si>
  <si>
    <t>TC-PM-042</t>
  </si>
  <si>
    <t>Token reuse after reset</t>
  </si>
  <si>
    <t>Access denied</t>
  </si>
  <si>
    <t>API-GET-PAG-USER-LST-095</t>
  </si>
  <si>
    <t>Page beyond lastPage</t>
  </si>
  <si>
    <t>page=999</t>
  </si>
  <si>
    <t>Empty items array</t>
  </si>
  <si>
    <t>TC-PM-043</t>
  </si>
  <si>
    <t>Emoty array item returned</t>
  </si>
  <si>
    <t>Concurrent password change</t>
  </si>
  <si>
    <t>Only one succeeds</t>
  </si>
  <si>
    <t>API-GET-PAG-USER-LST-096</t>
  </si>
  <si>
    <t>API-GET-PAG-USER-LST-097</t>
  </si>
  <si>
    <t>API-GET-PAG-USER-LST-098</t>
  </si>
  <si>
    <t>User without view permission</t>
  </si>
  <si>
    <t>API-GET-PAG-USER-LST-099</t>
  </si>
  <si>
    <t>Response ≤ 2 sec</t>
  </si>
  <si>
    <t>API-GET-PAG-USER-LST-100</t>
  </si>
  <si>
    <t>DB down</t>
  </si>
  <si>
    <t>API-GET-PAG-USER-LST-101</t>
  </si>
  <si>
    <t>Validate meta navigation links</t>
  </si>
  <si>
    <t>previous &amp; next URLs correct</t>
  </si>
  <si>
    <t>Data Integrity</t>
  </si>
  <si>
    <t>Create User</t>
  </si>
  <si>
    <t>API-CREATE-USER-102</t>
  </si>
  <si>
    <t>Create user with valid data</t>
  </si>
  <si>
    <t>Valid fullName &amp; email</t>
  </si>
  <si>
    <t>Status Code "201 Created", user added successfully</t>
  </si>
  <si>
    <t>User created successfully</t>
  </si>
  <si>
    <t>API-CREATE-USER-103</t>
  </si>
  <si>
    <t>Response contains ulid &amp; all user fields</t>
  </si>
  <si>
    <t>Response contains all expected objects</t>
  </si>
  <si>
    <t>API-CREATE-USER-104</t>
  </si>
  <si>
    <t>Validate ULID format</t>
  </si>
  <si>
    <t>ulid is valid ULID</t>
  </si>
  <si>
    <t>Valid ulid id generated</t>
  </si>
  <si>
    <t>API-CREATE-USER-105</t>
  </si>
  <si>
    <t>Create user → Fetch user</t>
  </si>
  <si>
    <t>Created user exists in DB</t>
  </si>
  <si>
    <t>As expeceted</t>
  </si>
  <si>
    <t>API-CREATE-USER-106</t>
  </si>
  <si>
    <t>Missing fullName field</t>
  </si>
  <si>
    <t>Missing fullName</t>
  </si>
  <si>
    <t>API-CREATE-USER-107</t>
  </si>
  <si>
    <t>Missing email field</t>
  </si>
  <si>
    <t>Missing email</t>
  </si>
  <si>
    <t>API-CREATE-USER-108</t>
  </si>
  <si>
    <t>email="invalid"</t>
  </si>
  <si>
    <t>API-CREATE-USER-109</t>
  </si>
  <si>
    <t>Empty fullName</t>
  </si>
  <si>
    <t>fullName=""</t>
  </si>
  <si>
    <t>TC-FP-001</t>
  </si>
  <si>
    <t>Reset for Valid Email</t>
  </si>
  <si>
    <t>Email is registered in system</t>
  </si>
  <si>
    <t>Enter registered email → Click Submit</t>
  </si>
  <si>
    <t>registered@example.com</t>
  </si>
  <si>
    <t>Password reset email sent successfully</t>
  </si>
  <si>
    <t>API-CREATE-USER-110</t>
  </si>
  <si>
    <t>Duplicate email</t>
  </si>
  <si>
    <t>Email should not reveal sensitive info</t>
  </si>
  <si>
    <t>User already exists</t>
  </si>
  <si>
    <t>TC-FP-002</t>
  </si>
  <si>
    <t>Invalid Email Attempt</t>
  </si>
  <si>
    <t>Duplicate email message is shown</t>
  </si>
  <si>
    <t>Email not registered</t>
  </si>
  <si>
    <t>Enter non-existing email → Click Submit</t>
  </si>
  <si>
    <t>fake@example.com</t>
  </si>
  <si>
    <t>Error message: “Email not found”</t>
  </si>
  <si>
    <t>API-CREATE-USER-111</t>
  </si>
  <si>
    <t>Avoid user enumeration (generic msg recommended)</t>
  </si>
  <si>
    <t>TC-FP-003</t>
  </si>
  <si>
    <t>Reset Using Valid Link</t>
  </si>
  <si>
    <t>Reset email received</t>
  </si>
  <si>
    <t>Click reset link → Enter new password → Submit</t>
  </si>
  <si>
    <t xml:space="preserve">Status Code "401  Unauthorized" with Unauthenticated message </t>
  </si>
  <si>
    <t>API-CREATE-USER-112</t>
  </si>
  <si>
    <t>TC-RBAC-001</t>
  </si>
  <si>
    <t>Token should be single-use</t>
  </si>
  <si>
    <t>TC-FP-004</t>
  </si>
  <si>
    <t>Admin Login</t>
  </si>
  <si>
    <t>Expired Reset Link</t>
  </si>
  <si>
    <t>User exists with Admin role</t>
  </si>
  <si>
    <t>Reset link expired</t>
  </si>
  <si>
    <t>Click expired reset link</t>
  </si>
  <si>
    <t>Enter valid admin email &amp; password</t>
  </si>
  <si>
    <t>Expired URL</t>
  </si>
  <si>
    <t>Admin credentials</t>
  </si>
  <si>
    <t>Error message: “Link Expired”</t>
  </si>
  <si>
    <t>Successful login and redirect to Admin dashboard</t>
  </si>
  <si>
    <t>Token expiry must be enforced</t>
  </si>
  <si>
    <t>API-CREATE-USER-113</t>
  </si>
  <si>
    <t>Security Test Cases</t>
  </si>
  <si>
    <t>No create permission</t>
  </si>
  <si>
    <t>TC-FP-005</t>
  </si>
  <si>
    <t>TC-RBAC-002</t>
  </si>
  <si>
    <t>Reuse Reset Link</t>
  </si>
  <si>
    <t>HR Login</t>
  </si>
  <si>
    <t>User exists with HR role</t>
  </si>
  <si>
    <t>Use same reset link twice</t>
  </si>
  <si>
    <t>Enter valid HR email &amp; password</t>
  </si>
  <si>
    <t>HR credentials</t>
  </si>
  <si>
    <t>Successful login and redirect to HR dashboard</t>
  </si>
  <si>
    <t>Second attempt rejected</t>
  </si>
  <si>
    <t>API-CREATE-USER-114</t>
  </si>
  <si>
    <t>TC-RBAC-003</t>
  </si>
  <si>
    <t>Manager Login</t>
  </si>
  <si>
    <t>User exists with Manager role</t>
  </si>
  <si>
    <t>TC-FP-006</t>
  </si>
  <si>
    <t>Enter valid Manager email &amp; password</t>
  </si>
  <si>
    <t>Manager credentials</t>
  </si>
  <si>
    <t>Successful login and redirect to Manager dashboard</t>
  </si>
  <si>
    <t>Invalid Token</t>
  </si>
  <si>
    <t>Modify token in reset URL</t>
  </si>
  <si>
    <t>Error: Invalid token</t>
  </si>
  <si>
    <t>TC-RBAC-004</t>
  </si>
  <si>
    <t>Employee Login</t>
  </si>
  <si>
    <t>User exists with Employee role</t>
  </si>
  <si>
    <t>Enter valid Employee email &amp; password</t>
  </si>
  <si>
    <t>Employee credentials</t>
  </si>
  <si>
    <t>Successful login and redirect to Employee dashboard</t>
  </si>
  <si>
    <t>TC-FP-007</t>
  </si>
  <si>
    <t>API-CREATE-USER-116</t>
  </si>
  <si>
    <t>Brute Force Reset Attempts</t>
  </si>
  <si>
    <t>Submit multiple reset requests rapidly</t>
  </si>
  <si>
    <t>Rate limit / CAPTCHA applied</t>
  </si>
  <si>
    <t>TC-FP-008</t>
  </si>
  <si>
    <t>Password Policy Enforcement</t>
  </si>
  <si>
    <t>TC-RBAC-005</t>
  </si>
  <si>
    <t>Employee accessing Admin panel</t>
  </si>
  <si>
    <t>Set weak password via reset</t>
  </si>
  <si>
    <t>Employee logged in</t>
  </si>
  <si>
    <t>Login as Employee → open Admin URL</t>
  </si>
  <si>
    <t>Admin URL</t>
  </si>
  <si>
    <t>Password validation error</t>
  </si>
  <si>
    <t>Access denied / Unauthorized page</t>
  </si>
  <si>
    <t>API-CREATE-USER-117</t>
  </si>
  <si>
    <t>Ensure sensitive fields not exposed</t>
  </si>
  <si>
    <t>Privilege escalation</t>
  </si>
  <si>
    <t>TC-FP-009</t>
  </si>
  <si>
    <t>TC-RBAC-006</t>
  </si>
  <si>
    <t>No password/secret fields in response</t>
  </si>
  <si>
    <t>Session Invalidation After Reset</t>
  </si>
  <si>
    <t>Noe sensitive information displayed</t>
  </si>
  <si>
    <t>Admin accessing HR module</t>
  </si>
  <si>
    <t>Reset password while logged in</t>
  </si>
  <si>
    <t>Admin logged in</t>
  </si>
  <si>
    <t>All active sessions invalidated</t>
  </si>
  <si>
    <t>Navigate to HR module</t>
  </si>
  <si>
    <t>Access allowed</t>
  </si>
  <si>
    <t>TC-FP-010</t>
  </si>
  <si>
    <t>Cross-role permission</t>
  </si>
  <si>
    <t>TC-RBAC-007</t>
  </si>
  <si>
    <t>Generic Response Validation</t>
  </si>
  <si>
    <t>Manager accessing Employee profiles</t>
  </si>
  <si>
    <t>Reset request for any email</t>
  </si>
  <si>
    <t>Manager logged in</t>
  </si>
  <si>
    <t>Open Team / Employee Profiles</t>
  </si>
  <si>
    <t>Same success message shown</t>
  </si>
  <si>
    <t>Only permitted employee list visible</t>
  </si>
  <si>
    <t>Data scoping</t>
  </si>
  <si>
    <t>TC-RBAC-008</t>
  </si>
  <si>
    <t>Unauthorized API access</t>
  </si>
  <si>
    <t>Valid token with wrong role</t>
  </si>
  <si>
    <t>Call Admin API using Employee token</t>
  </si>
  <si>
    <t>Admin API</t>
  </si>
  <si>
    <t>API RBAC</t>
  </si>
  <si>
    <t>TC-RBAC-009</t>
  </si>
  <si>
    <t>Direct URL access restriction</t>
  </si>
  <si>
    <t>Manually enter Admin module URL</t>
  </si>
  <si>
    <t>Redirect to Access Denied page</t>
  </si>
  <si>
    <t>URL-based RBAC</t>
  </si>
  <si>
    <t>TC-RBAC-010</t>
  </si>
  <si>
    <t>Menu visibility for Employee</t>
  </si>
  <si>
    <t>Observe sidebar/menu</t>
  </si>
  <si>
    <t>Admin/HR menus hidden</t>
  </si>
  <si>
    <t>UI RBAC</t>
  </si>
  <si>
    <t>TC-RBAC-011</t>
  </si>
  <si>
    <t>Menu visibility for Admin</t>
  </si>
  <si>
    <t>All menus visible</t>
  </si>
  <si>
    <t>TC-RBAC-012</t>
  </si>
  <si>
    <t>Session role tampering</t>
  </si>
  <si>
    <t>Logged-in Employee</t>
  </si>
  <si>
    <t>Modify role in browser storage</t>
  </si>
  <si>
    <t>Access still denied</t>
  </si>
  <si>
    <t>TC-RBAC-013</t>
  </si>
  <si>
    <t>Access after logout</t>
  </si>
  <si>
    <t>User logged out</t>
  </si>
  <si>
    <t>Press browser back button</t>
  </si>
  <si>
    <t>Redirect to login page</t>
  </si>
  <si>
    <t>As expected with "Session Expired : Login Again" message also appear</t>
  </si>
  <si>
    <t>Session control</t>
  </si>
  <si>
    <t>TC-RBAC-014</t>
  </si>
  <si>
    <t>Disabled user access</t>
  </si>
  <si>
    <t>User account disabled</t>
  </si>
  <si>
    <t>Attempt login</t>
  </si>
  <si>
    <t>Login blocked with error</t>
  </si>
  <si>
    <t>User lifecycle</t>
  </si>
  <si>
    <t>TC-RBAC-015</t>
  </si>
  <si>
    <t>Role change impact</t>
  </si>
  <si>
    <t>User role updated by Admin</t>
  </si>
  <si>
    <t>Logout → Login again</t>
  </si>
  <si>
    <t>Updated role</t>
  </si>
  <si>
    <t>New permissions applied</t>
  </si>
  <si>
    <t>Role refresh</t>
  </si>
  <si>
    <t>TC-RBAC-016</t>
  </si>
  <si>
    <t>Multiple tabs role enforcement</t>
  </si>
  <si>
    <t>Open Admin URL in new tab</t>
  </si>
  <si>
    <t>Multi-tab behavior</t>
  </si>
  <si>
    <t>TC-LOG-AUDIT-001</t>
  </si>
  <si>
    <t>Log Successful Login</t>
  </si>
  <si>
    <t>Logging enabled</t>
  </si>
  <si>
    <t>Login from unusual location</t>
  </si>
  <si>
    <t>Login event logged with timestamp, IP, user ID</t>
  </si>
  <si>
    <t>Authentication logs</t>
  </si>
  <si>
    <t>&lt;&lt;&lt;AuthAPITestScenario</t>
  </si>
  <si>
    <t>TC-LOG-AUDIT-002</t>
  </si>
  <si>
    <t>Log Failed Login</t>
  </si>
  <si>
    <t>Attempt login with invalid credentials</t>
  </si>
  <si>
    <t>Wrong credentials</t>
  </si>
  <si>
    <t>Failed login attempt logged</t>
  </si>
  <si>
    <t>&lt;&lt;&lt;API-UPLOAD-FILE-006</t>
  </si>
  <si>
    <t>&lt;&lt;&lt;API-UPLOAD-FILE-013</t>
  </si>
  <si>
    <t>TC-LOG-AUDIT-003</t>
  </si>
  <si>
    <t>Suspicious IP Detection</t>
  </si>
  <si>
    <t>IP monitoring enabled</t>
  </si>
  <si>
    <t>Login from foreign/unusual IP</t>
  </si>
  <si>
    <t>Foreign IP</t>
  </si>
  <si>
    <t>Suspicious activity alert triggered and logged</t>
  </si>
  <si>
    <t>Threat detection</t>
  </si>
  <si>
    <t>TC-LOG-AUDIT-004</t>
  </si>
  <si>
    <t>Log Account Lock</t>
  </si>
  <si>
    <t>Account lock threshold configured</t>
  </si>
  <si>
    <t>Fail login 5 times</t>
  </si>
  <si>
    <t>Account lock event logged</t>
  </si>
  <si>
    <t>TC-LOG-AUDIT-005</t>
  </si>
  <si>
    <t>Log Successful Logout</t>
  </si>
  <si>
    <t>Click Logout</t>
  </si>
  <si>
    <t>Logout event logged</t>
  </si>
  <si>
    <t>Session audit</t>
  </si>
  <si>
    <t>TC-LOG-AUDIT-006</t>
  </si>
  <si>
    <t>Log Password Change</t>
  </si>
  <si>
    <t>Password change event logged (no password value stored)</t>
  </si>
  <si>
    <t>Sensitive data</t>
  </si>
  <si>
    <t>TC-LOG-AUDIT-007</t>
  </si>
  <si>
    <t>Log Failed Password Change</t>
  </si>
  <si>
    <t>Enter invalid old password</t>
  </si>
  <si>
    <t>Wrong old password</t>
  </si>
  <si>
    <t>Failed password change logged</t>
  </si>
  <si>
    <t>Error tracking</t>
  </si>
  <si>
    <t>TC-LOG-AUDIT-008</t>
  </si>
  <si>
    <t>Log Role Change</t>
  </si>
  <si>
    <t>Admin privileges</t>
  </si>
  <si>
    <t>Change user role</t>
  </si>
  <si>
    <t>Employee → Manager</t>
  </si>
  <si>
    <t>Role update logged with actor details</t>
  </si>
  <si>
    <t>TC-LOG-AUDIT-009</t>
  </si>
  <si>
    <t>Set Password On First Login</t>
  </si>
  <si>
    <t>Log Profile Update</t>
  </si>
  <si>
    <t>Update profile details</t>
  </si>
  <si>
    <t>Name, phone</t>
  </si>
  <si>
    <t>Profile update logged</t>
  </si>
  <si>
    <t>Data modification</t>
  </si>
  <si>
    <t>TC-LOG-AUDIT-010</t>
  </si>
  <si>
    <t>Log Unauthorized Access</t>
  </si>
  <si>
    <t>API-SET-PASS-001</t>
  </si>
  <si>
    <t>Access restricted module</t>
  </si>
  <si>
    <t>Set password successfully on first login</t>
  </si>
  <si>
    <t>Unauthorized access attempt logged</t>
  </si>
  <si>
    <t>Access control</t>
  </si>
  <si>
    <t>/v1/auth/password/set</t>
  </si>
  <si>
    <t>{
 "password":"Password12#",
"confirmPassword":"Password12#" 
}</t>
  </si>
  <si>
    <t>User logged in with temporary password and valid token</t>
  </si>
  <si>
    <t>TC-LOG-AUDIT-011</t>
  </si>
  <si>
    <t>1. Send POST request</t>
  </si>
  <si>
    <t>Log File Upload Activity</t>
  </si>
  <si>
    <t>200 OK or 204 No Content</t>
  </si>
  <si>
    <t>Upload feature enabled</t>
  </si>
  <si>
    <t>Upload file/image</t>
  </si>
  <si>
    <t>Upload event logged with filename</t>
  </si>
  <si>
    <t>File audit</t>
  </si>
  <si>
    <t>API-SET-PASS-002</t>
  </si>
  <si>
    <t>TC-LOG-AUDIT-012</t>
  </si>
  <si>
    <t>Reject when password and confirmPassword do not match</t>
  </si>
  <si>
    <t>Log File Delete Activity</t>
  </si>
  <si>
    <t>{
 "password":"Password12#",
"confirmPassword":"Password13#" 
}</t>
  </si>
  <si>
    <t>Delete file</t>
  </si>
  <si>
    <t>File ID</t>
  </si>
  <si>
    <t>First login</t>
  </si>
  <si>
    <t>File delete event logged</t>
  </si>
  <si>
    <t xml:space="preserve">Status Code "422 Unprocessable Entity" with Proper Message </t>
  </si>
  <si>
    <t>As expected with "The confirm password field must match password."</t>
  </si>
  <si>
    <t>TC-LOG-AUDIT-013</t>
  </si>
  <si>
    <t>Audit Log Immutability</t>
  </si>
  <si>
    <t>Audit logs enabled</t>
  </si>
  <si>
    <t>API-SET-PASS-003</t>
  </si>
  <si>
    <t>Attempt to edit/delete audit log</t>
  </si>
  <si>
    <t>Reject password less than 8 characters</t>
  </si>
  <si>
    <t>Modification denied</t>
  </si>
  <si>
    <t>{
 "password":"Pass1#",
"confirmPassword":"Pass1#" 
}</t>
  </si>
  <si>
    <t>As expected with "The password field must be at least 8 characters."</t>
  </si>
  <si>
    <t>Audit integrity</t>
  </si>
  <si>
    <t>TC-LOG-AUDIT-014</t>
  </si>
  <si>
    <t>API-SET-PASS-004</t>
  </si>
  <si>
    <t>Log System Configuration Change</t>
  </si>
  <si>
    <t>Reject password without numbers</t>
  </si>
  <si>
    <t>Change system settings</t>
  </si>
  <si>
    <t>{
 "password":"Password#",
"confirmPassword":"Password#" 
}</t>
  </si>
  <si>
    <t>Config values</t>
  </si>
  <si>
    <t>Configuration change logged</t>
  </si>
  <si>
    <t>As expected with "The password field must contain at least one number."</t>
  </si>
  <si>
    <t>TC-LOG-AUDIT-015</t>
  </si>
  <si>
    <t>Log Session Timeout</t>
  </si>
  <si>
    <t>API-SET-PASS-005</t>
  </si>
  <si>
    <t>Session timeout configured</t>
  </si>
  <si>
    <t>Stay idle until timeout</t>
  </si>
  <si>
    <t>Reject password without special character</t>
  </si>
  <si>
    <t>Session timeout logged</t>
  </si>
  <si>
    <t>{ 
"password":"Password12",
"confirmPassword":"Password12" 
}</t>
  </si>
  <si>
    <t>As expected with "The password field must contain at least one symbol."</t>
  </si>
  <si>
    <t>Session handling</t>
  </si>
  <si>
    <t>API-SET-PASS-006</t>
  </si>
  <si>
    <t>Field Validation Test Cases</t>
  </si>
  <si>
    <t>Reject request without access token</t>
  </si>
  <si>
    <t>No Authorization header</t>
  </si>
  <si>
    <t>TC-LOG-AUDIT-016</t>
  </si>
  <si>
    <t>Validate mandatory audit fields</t>
  </si>
  <si>
    <t>API-SET-PASS-008</t>
  </si>
  <si>
    <t>Perform successful login</t>
  </si>
  <si>
    <t>Prevent password reset after first login</t>
  </si>
  <si>
    <t>Audit log contains timestamp, userId, action, IP, status</t>
  </si>
  <si>
    <t>User already changed password</t>
  </si>
  <si>
    <t>401 or 422</t>
  </si>
  <si>
    <t>Mandatory fields present</t>
  </si>
  <si>
    <t>TC-LOG-AUDIT-017</t>
  </si>
  <si>
    <t>API-SET-PASS-009</t>
  </si>
  <si>
    <t>Reject empty request body</t>
  </si>
  <si>
    <t>Validate timestamp format</t>
  </si>
  <si>
    <t>Trigger any auditable action</t>
  </si>
  <si>
    <t>Any valid action</t>
  </si>
  <si>
    <t>Timestamp stored in ISO 8601 / system standard format</t>
  </si>
  <si>
    <t>As expected with "The password field is required." and "The confirm password field is required."</t>
  </si>
  <si>
    <t>Timezone included</t>
  </si>
  <si>
    <t>TC-LOG-AUDIT-018</t>
  </si>
  <si>
    <t>API-SET-PASS-010</t>
  </si>
  <si>
    <t>Validate userId for authenticated action</t>
  </si>
  <si>
    <t>Perform profile update</t>
  </si>
  <si>
    <t>Reject null password values</t>
  </si>
  <si>
    <t>Correct userId stored in audit log</t>
  </si>
  <si>
    <t>{
 "password":null,
"confirmPassword":null 
}</t>
  </si>
  <si>
    <t>Matches session user</t>
  </si>
  <si>
    <t>TC-LOG-AUDIT-019</t>
  </si>
  <si>
    <t>Validate anonymous user logging</t>
  </si>
  <si>
    <t>Attempt invalid login</t>
  </si>
  <si>
    <t>API-SET-PASS-011</t>
  </si>
  <si>
    <t>userId = null / anonymous recorded</t>
  </si>
  <si>
    <t>Reject password with only spaces and trimmed mismatch</t>
  </si>
  <si>
    <t>{
 "password":" ",
"confirmPassword":"Password12#" 
}</t>
  </si>
  <si>
    <t>Required for security</t>
  </si>
  <si>
    <t>As expected with "The password field is required."and  "The confirm password field must match password."</t>
  </si>
  <si>
    <t>TC-LOG-AUDIT-020</t>
  </si>
  <si>
    <t>Validate action name accuracy</t>
  </si>
  <si>
    <t>Delete resource</t>
  </si>
  <si>
    <t>Resource ID</t>
  </si>
  <si>
    <t>Correct action name (DELETE_RESOURCE) stored</t>
  </si>
  <si>
    <t>API-SET-PASS-012</t>
  </si>
  <si>
    <t>Reject password with expired token</t>
  </si>
  <si>
    <t>Consistent naming</t>
  </si>
  <si>
    <t>TC-LOG-AUDIT-021</t>
  </si>
  <si>
    <t>Validate IP address logging</t>
  </si>
  <si>
    <t>Login from browser</t>
  </si>
  <si>
    <t>Correct IPv4/IPv6 stored</t>
  </si>
  <si>
    <t>API-SET-PASS-013</t>
  </si>
  <si>
    <t>Accept password with multiple special criteria</t>
  </si>
  <si>
    <t>{
 "password":"Pa$$12##@",
"confirmPassword":"Pa$$12##@" 
}</t>
  </si>
  <si>
    <t>200 or 204</t>
  </si>
  <si>
    <t>Required for audits</t>
  </si>
  <si>
    <t>TC-LOG-AUDIT-022</t>
  </si>
  <si>
    <t>API-SET-PASS-014</t>
  </si>
  <si>
    <t>Validate device / user-agent logging</t>
  </si>
  <si>
    <t>Reject missing confirmPassword</t>
  </si>
  <si>
    <t>Login using browser</t>
  </si>
  <si>
    <t>Browser UA</t>
  </si>
  <si>
    <t>User-agent stored correctly</t>
  </si>
  <si>
    <t>{ "password":"Password12#" }</t>
  </si>
  <si>
    <t>As expected with "The confirm password field is required."</t>
  </si>
  <si>
    <t>Optional field</t>
  </si>
  <si>
    <t>API-SET-PASS-015</t>
  </si>
  <si>
    <t>Reject non-string password</t>
  </si>
  <si>
    <t>TC-LOG-AUDIT-023</t>
  </si>
  <si>
    <t>{
 "password":12345678,
"confirmPassword":12345678
}</t>
  </si>
  <si>
    <t>Validate status field</t>
  </si>
  <si>
    <t>Failed login</t>
  </si>
  <si>
    <t>As expected with ""The password field must be a string."</t>
  </si>
  <si>
    <t>Wrong password</t>
  </si>
  <si>
    <t>Status stored as FAILED</t>
  </si>
  <si>
    <t>API-SET-PASS-016</t>
  </si>
  <si>
    <t>Reject SQL injection in password</t>
  </si>
  <si>
    <t>ENUM validation</t>
  </si>
  <si>
    <t>{
 "password":"'OR 1=1--#1",
"confirmPassword":"'OR 1=1--#1"
 }</t>
  </si>
  <si>
    <t>Status Code "422 Unprocessable Entity" with proper message  or safe failure with input sanitized</t>
  </si>
  <si>
    <t>TC-LOG-AUDIT-024</t>
  </si>
  <si>
    <t>Validate metadata JSON structure</t>
  </si>
  <si>
    <t>API-SET-PASS-017</t>
  </si>
  <si>
    <t>File payload</t>
  </si>
  <si>
    <t>Metadata stored as valid JSON</t>
  </si>
  <si>
    <t>Reject XSS payload</t>
  </si>
  <si>
    <t>{
 "password":"&lt;script&gt;alert(1)&lt;/script&gt;1#",
"confirmPassword":"&lt;script&gt;alert(1)&lt;/script&gt;1#" 
}</t>
  </si>
  <si>
    <t>Prevents parsing issues</t>
  </si>
  <si>
    <t>API-SET-PASS-018</t>
  </si>
  <si>
    <t>TC-LOG-AUDIT-025</t>
  </si>
  <si>
    <t>Prevent oversized metadata</t>
  </si>
  <si>
    <t>Validate unicode/emoji handling</t>
  </si>
  <si>
    <t>Upload large payload</t>
  </si>
  <si>
    <t>&gt; allowed size</t>
  </si>
  <si>
    <t>Metadata truncated or rejected safely</t>
  </si>
  <si>
    <t>{
 "password":"Pass12#😊",
"confirmPassword":"Pass12#😊" 
}</t>
  </si>
  <si>
    <t xml:space="preserve">Status Code "200 OK" or Status Code "204 No Content" </t>
  </si>
  <si>
    <t>Prevent DB issues</t>
  </si>
  <si>
    <t>Performance &amp; Volume Test Cases</t>
  </si>
  <si>
    <t>API-SET-PASS-019</t>
  </si>
  <si>
    <t>Reject extremely long password</t>
  </si>
  <si>
    <t>500+ chars</t>
  </si>
  <si>
    <t>TC-LOG-AUDIT-026</t>
  </si>
  <si>
    <t>High-frequency log generation</t>
  </si>
  <si>
    <t>Trigger 1,000 actions/min</t>
  </si>
  <si>
    <t>Bulk API calls</t>
  </si>
  <si>
    <t>All logs recorded without loss</t>
  </si>
  <si>
    <t>API-SET-PASS-020</t>
  </si>
  <si>
    <t>Log flooding test</t>
  </si>
  <si>
    <t>Reject request without content-type</t>
  </si>
  <si>
    <t>Content-Type missing</t>
  </si>
  <si>
    <t>Status Code "415 Unsupported Media Type"</t>
  </si>
  <si>
    <t>TC-LOG-AUDIT-027</t>
  </si>
  <si>
    <t>Concurrent user logging</t>
  </si>
  <si>
    <t>500 users login simultaneously</t>
  </si>
  <si>
    <t>Logs created for all users</t>
  </si>
  <si>
    <t>API-SET-PASS-021</t>
  </si>
  <si>
    <t>Reject GET request</t>
  </si>
  <si>
    <t>Endpoint exists</t>
  </si>
  <si>
    <t>Concurrency handling</t>
  </si>
  <si>
    <t>TC-LOG-AUDIT-028</t>
  </si>
  <si>
    <t>Logging under peak load</t>
  </si>
  <si>
    <t>API-SET-PASS-022</t>
  </si>
  <si>
    <t>System under load</t>
  </si>
  <si>
    <t>Prevent multiple password set attempts</t>
  </si>
  <si>
    <t>Perform CRUD operations</t>
  </si>
  <si>
    <t>Mixed actions</t>
  </si>
  <si>
    <t>No performance degradation &gt; SLA</t>
  </si>
  <si>
    <t>Same token reused</t>
  </si>
  <si>
    <t>1. Send parallel requests</t>
  </si>
  <si>
    <t>One success, others fail</t>
  </si>
  <si>
    <t>Response time check</t>
  </si>
  <si>
    <t>TC-LOG-AUDIT-029</t>
  </si>
  <si>
    <t>Log write failure handling</t>
  </si>
  <si>
    <t>API-SET-PASS-023</t>
  </si>
  <si>
    <t>Perform auditable action</t>
  </si>
  <si>
    <t>Any</t>
  </si>
  <si>
    <t>Ensure password not in response</t>
  </si>
  <si>
    <t>Action succeeds, log queued or fallback applied</t>
  </si>
  <si>
    <t>Password not returned</t>
  </si>
  <si>
    <t>Fault tolerance</t>
  </si>
  <si>
    <t>API-SET-PASS-024</t>
  </si>
  <si>
    <t>Validate meaningful error message</t>
  </si>
  <si>
    <t>TC-LOG-AUDIT-030</t>
  </si>
  <si>
    <t>Invalid payload</t>
  </si>
  <si>
    <t>Log flooding protection</t>
  </si>
  <si>
    <t>Clear validation message</t>
  </si>
  <si>
    <t>Send automated requests</t>
  </si>
  <si>
    <t>Rapid API hits</t>
  </si>
  <si>
    <t>Rate limiting or throttling applied</t>
  </si>
  <si>
    <t>Prevent abuse</t>
  </si>
  <si>
    <t>API-SET-PASS-025</t>
  </si>
  <si>
    <t>TC-LOG-AUDIT-031</t>
  </si>
  <si>
    <t>Audit log retention policy</t>
  </si>
  <si>
    <t>Retention configured</t>
  </si>
  <si>
    <t>Wait beyond retention period</t>
  </si>
  <si>
    <t>Old logs</t>
  </si>
  <si>
    <t>Logs archived or deleted as per policy</t>
  </si>
  <si>
    <t>Same token used twice</t>
  </si>
  <si>
    <t>TC-LOG-AUDIT-032</t>
  </si>
  <si>
    <t>Archive retrieval performance</t>
  </si>
  <si>
    <t>Archived logs exist</t>
  </si>
  <si>
    <t>Query archived logs</t>
  </si>
  <si>
    <t>Date range</t>
  </si>
  <si>
    <t>API-SET-PASS-026</t>
  </si>
  <si>
    <t>Logs retrieved within acceptable time</t>
  </si>
  <si>
    <t>Reporting use</t>
  </si>
  <si>
    <t>1. Send request</t>
  </si>
  <si>
    <t>No password in response</t>
  </si>
  <si>
    <t>TC-LOG-AUDIT-033</t>
  </si>
  <si>
    <t>Disk space threshold handling</t>
  </si>
  <si>
    <t>Low disk space</t>
  </si>
  <si>
    <t>Generate logs</t>
  </si>
  <si>
    <t>Continuous actions</t>
  </si>
  <si>
    <t>Logging continues or alerts triggered</t>
  </si>
  <si>
    <t>Stability test</t>
  </si>
  <si>
    <t>API-SET-PASS-027</t>
  </si>
  <si>
    <t>TC-LOG-AUDIT-034</t>
  </si>
  <si>
    <t>Database index efficiency</t>
  </si>
  <si>
    <t>Large log dataset</t>
  </si>
  <si>
    <t>Query logs by user/date</t>
  </si>
  <si>
    <t>Filters applied</t>
  </si>
  <si>
    <t>Query executes within SLA</t>
  </si>
  <si>
    <t>Index validation</t>
  </si>
  <si>
    <t>TC-LOG-AUDIT-035</t>
  </si>
  <si>
    <t>Log export under load</t>
  </si>
  <si>
    <t>Logs &gt; 1M rows</t>
  </si>
  <si>
    <t>Export logs</t>
  </si>
  <si>
    <t>CSV/PDF</t>
  </si>
  <si>
    <t>Export completes without crash</t>
  </si>
  <si>
    <t>Compliance export</t>
  </si>
  <si>
    <t>Request To Reset Forgot Passowrd</t>
  </si>
  <si>
    <t>API-FORGOT-PASS-001</t>
  </si>
  <si>
    <t>Send forgot password request with valid registered email</t>
  </si>
  <si>
    <t>/v1/auth/password/forgot</t>
  </si>
  <si>
    <t>{
"email" : "sample@example.com"
}</t>
  </si>
  <si>
    <t>User account exists and is active</t>
  </si>
  <si>
    <t>Send POST request with valid email</t>
  </si>
  <si>
    <t>Status Code "200 OK", password reset email sent successfully</t>
  </si>
  <si>
    <t>API-FORGOT-PASS-002</t>
  </si>
  <si>
    <t>Forgot password request with unregistered email</t>
  </si>
  <si>
    <t>{
"email" : "unregistered@example.com"
}</t>
  </si>
  <si>
    <t>Email does not exist in system</t>
  </si>
  <si>
    <t xml:space="preserve">Status Code "422 Unprocessable Entity" with proper  validation message </t>
  </si>
  <si>
    <t>As expected with "The selected email is invalid."</t>
  </si>
  <si>
    <t>Avoid user enumeration</t>
  </si>
  <si>
    <t>API-FORGOT-PASS-003</t>
  </si>
  <si>
    <t>Forgot password request without email field</t>
  </si>
  <si>
    <t>Send POST request without email</t>
  </si>
  <si>
    <t>As expected with "The email field is required."</t>
  </si>
  <si>
    <t>Email is mandatory</t>
  </si>
  <si>
    <t>API-FORGOT-PASS-004</t>
  </si>
  <si>
    <t>Forgot password request with empty email</t>
  </si>
  <si>
    <t>{
"email" : ""
}</t>
  </si>
  <si>
    <t>API-FORGOT-PASS-005</t>
  </si>
  <si>
    <t>Forgot password with invalid email format</t>
  </si>
  <si>
    <t>{
"email" : "sample@"
}</t>
  </si>
  <si>
    <t>As expected with "The email field must be a valid email address."</t>
  </si>
  <si>
    <t>Format validation</t>
  </si>
  <si>
    <t>API-FORGOT-PASS-006</t>
  </si>
  <si>
    <t>Email field with SQL injection</t>
  </si>
  <si>
    <t>email = ' OR 1=1 --</t>
  </si>
  <si>
    <t>Status Code "422 Unprocessable Entity" with proper  validation message and input sanitized</t>
  </si>
  <si>
    <t>As expected with "The email field is required." (Sanitized)</t>
  </si>
  <si>
    <t>API-FORGOT-PASS-007</t>
  </si>
  <si>
    <t>Email field with script injection</t>
  </si>
  <si>
    <t>email = &lt;script&gt;alert(1)&lt;/script&gt;</t>
  </si>
  <si>
    <t>OWASP input validation</t>
  </si>
  <si>
    <t>API-FORGOT-PASS-008</t>
  </si>
  <si>
    <t>Multiple forgot password requests</t>
  </si>
  <si>
    <t>Send request multiple times rapidly</t>
  </si>
  <si>
    <t>API-FORGOT-PASS-009</t>
  </si>
  <si>
    <t>JSON response without sensitive info</t>
  </si>
  <si>
    <t>Reset token shown in production it shouldn't but in development phase it is passed</t>
  </si>
  <si>
    <t>No debug/trace</t>
  </si>
  <si>
    <t>API-FORGOT-PASS-010</t>
  </si>
  <si>
    <t>Ensure no debug info exposed</t>
  </si>
  <si>
    <t>No file, line, trace in response</t>
  </si>
  <si>
    <t>OWASP compliance</t>
  </si>
  <si>
    <t>API-FORGOT-PASS-011</t>
  </si>
  <si>
    <t>Verify reset token is generated</t>
  </si>
  <si>
    <t>Reset token generated and stored in DB</t>
  </si>
  <si>
    <t>Token expiry required</t>
  </si>
  <si>
    <t>API-FORGOT-PASS-012</t>
  </si>
  <si>
    <t>Verify reset token expiry time</t>
  </si>
  <si>
    <t>Send request → inspect DB</t>
  </si>
  <si>
    <t>Token has valid expiry timestamp</t>
  </si>
  <si>
    <t>Security check</t>
  </si>
  <si>
    <t>API-FORGOT-PASS-013</t>
  </si>
  <si>
    <t>Generate multiple reset tokens</t>
  </si>
  <si>
    <t>Send request twice</t>
  </si>
  <si>
    <t>Old token invalidated, new token active</t>
  </si>
  <si>
    <t>Prevent reuse</t>
  </si>
  <si>
    <t>API-FORGOT-PASS-014</t>
  </si>
  <si>
    <t>Ensure token not leaked in prod</t>
  </si>
  <si>
    <t>Prod env</t>
  </si>
  <si>
    <t>Token NOT returned in response</t>
  </si>
  <si>
    <t xml:space="preserve">Production Phase not Reached yet </t>
  </si>
  <si>
    <t>OWASP</t>
  </si>
  <si>
    <t>API-FORGOT-PASS-015</t>
  </si>
  <si>
    <t>Token usable only once</t>
  </si>
  <si>
    <t>/v1/auth/password/reset</t>
  </si>
  <si>
    <t>token + new password</t>
  </si>
  <si>
    <t>Token exists</t>
  </si>
  <si>
    <t>Use token twice</t>
  </si>
  <si>
    <t xml:space="preserve">Status Code " 422 Unprocessable Entity" with Proper Message </t>
  </si>
  <si>
    <t>As expected with  "Invalid or expired reset credentials."</t>
  </si>
  <si>
    <t>Replay attack prevention</t>
  </si>
  <si>
    <t xml:space="preserve">Generates New Access Token Using Refresh Token </t>
  </si>
  <si>
    <t>API-NEW-TOKEN-001</t>
  </si>
  <si>
    <t>Generate new access token using valid refresh token</t>
  </si>
  <si>
    <t>/v1/auth/token/refresh</t>
  </si>
  <si>
    <t>refreshToken = &lt;valid_refresh_token&gt;</t>
  </si>
  <si>
    <t>User logged in, refresh token valid &amp; not expired</t>
  </si>
  <si>
    <t>1. Send POST request with valid refresh token</t>
  </si>
  <si>
    <t>200 OK, new accessToken returned</t>
  </si>
  <si>
    <t>New token generated as expected</t>
  </si>
  <si>
    <t>API-NEW-TOKEN-002</t>
  </si>
  <si>
    <t>Refresh token missing in request</t>
  </si>
  <si>
    <t>API accessible</t>
  </si>
  <si>
    <t>1. Send POST request without refresh token</t>
  </si>
  <si>
    <t>422 Validation error / 400 Bad Request</t>
  </si>
  <si>
    <t>Validation erro message displayed</t>
  </si>
  <si>
    <t>Token required</t>
  </si>
  <si>
    <t>API-NEW-TOKEN-003</t>
  </si>
  <si>
    <t>Refresh token is invalid</t>
  </si>
  <si>
    <t>refreshToken = invalid_token</t>
  </si>
  <si>
    <t>1. Send POST request with invalid token</t>
  </si>
  <si>
    <t>Forbidden message displayed</t>
  </si>
  <si>
    <t>API-NEW-TOKEN-004</t>
  </si>
  <si>
    <t>Refresh token expired</t>
  </si>
  <si>
    <t>refreshToken = &lt;expired_token&gt;</t>
  </si>
  <si>
    <t>401 Unauthorized / Token expired message</t>
  </si>
  <si>
    <t>Token lifecycle</t>
  </si>
  <si>
    <t>API-NEW-TOKEN-005</t>
  </si>
  <si>
    <t>Refresh token revoked (after logout)</t>
  </si>
  <si>
    <t>refreshToken = &lt;revoked_token&gt;</t>
  </si>
  <si>
    <t>Logout invalidation</t>
  </si>
  <si>
    <t>API-NEW-TOKEN-006</t>
  </si>
  <si>
    <t>Old refresh token becomes invalid after use</t>
  </si>
  <si>
    <t>Valid refresh token</t>
  </si>
  <si>
    <t>Token rotation enabled</t>
  </si>
  <si>
    <t>1. Refresh token 
2. Reuse old refresh token</t>
  </si>
  <si>
    <t>Second request fails with 401</t>
  </si>
  <si>
    <t>Best practice</t>
  </si>
  <si>
    <t>API-NEW-TOKEN-007</t>
  </si>
  <si>
    <t>Admin refresh token</t>
  </si>
  <si>
    <t>New access token issued</t>
  </si>
  <si>
    <t>Admin role</t>
  </si>
  <si>
    <t>API-NEW-TOKEN-008</t>
  </si>
  <si>
    <t>Validate refresh response structure</t>
  </si>
  <si>
    <t>Response contains accessToken, expiresIn</t>
  </si>
  <si>
    <t>Contract validation</t>
  </si>
  <si>
    <t>API-NEW-TOKEN-009</t>
  </si>
  <si>
    <t>Access protected API using new token</t>
  </si>
  <si>
    <t>New access token</t>
  </si>
  <si>
    <t>Token generated</t>
  </si>
  <si>
    <t>Call protected API with new token</t>
  </si>
  <si>
    <t>End-to-end validation</t>
  </si>
  <si>
    <t>API-NEW-TOKEN-010</t>
  </si>
  <si>
    <t>Excessive refresh attempts</t>
  </si>
  <si>
    <t>Same refresh token</t>
  </si>
  <si>
    <t>Send multiple refresh requests rapidly</t>
  </si>
  <si>
    <t>429 Too Many Requests or 403 Forbidden</t>
  </si>
  <si>
    <t>Fobidden message displayed</t>
  </si>
  <si>
    <t>OWASP API4</t>
  </si>
  <si>
    <t>User Login For HR Management System</t>
  </si>
  <si>
    <t>API-LOGIN-001</t>
  </si>
  <si>
    <t>Login with valid email and password</t>
  </si>
  <si>
    <t>Valid email &amp; password
{
  "email": "admin@example.com",
  "password": "password"
}</t>
  </si>
  <si>
    <t>1. Send POST request with valid payload</t>
  </si>
  <si>
    <t>Status Code "200 OK", response contains accessToken, refreshToken, expiresIn, role, isGeneratedPassword, refreshTokenExpiry</t>
  </si>
  <si>
    <t>API-LOGIN-002</t>
  </si>
  <si>
    <t>Login with unregistered email</t>
  </si>
  <si>
    <t>Invalid email, valid password
{
  "email": "invalid@example.com",
  "password": "password"
}</t>
  </si>
  <si>
    <t>User does not exist</t>
  </si>
  <si>
    <t>Status Code "401 Unauthorized" with message "Unauthenticated"</t>
  </si>
  <si>
    <t>API-LOGIN-003</t>
  </si>
  <si>
    <t>Login with wrong password</t>
  </si>
  <si>
    <t>Valid email, wrong password
{
  "email": "admin@example.com",
  "password": "wrongpassword"
}</t>
  </si>
  <si>
    <t>Security-related</t>
  </si>
  <si>
    <t>API-LOGIN-004</t>
  </si>
  <si>
    <t>Login with empty email field</t>
  </si>
  <si>
    <t>{
  "email": "",
  "password": "password"
}</t>
  </si>
  <si>
    <t xml:space="preserve">Status Code "422 Unprocessable Entity" with proper field validation message </t>
  </si>
  <si>
    <t>API-LOGIN-005</t>
  </si>
  <si>
    <t>Login with empty password field</t>
  </si>
  <si>
    <t>{
  "email": "admin@example.com",
  "password": ""
}</t>
  </si>
  <si>
    <t>As expected with "The password field is required."</t>
  </si>
  <si>
    <t>API-LOGIN-006</t>
  </si>
  <si>
    <t>Login without email or password</t>
  </si>
  <si>
    <t>Missing fields</t>
  </si>
  <si>
    <t>As expected with both field validation message</t>
  </si>
  <si>
    <t>API-LOGIN-007</t>
  </si>
  <si>
    <t>Login with invalid email format</t>
  </si>
  <si>
    <t>{
  "email": "abc@",
  "password": "password"
}</t>
  </si>
  <si>
    <t>API-LOGIN-008</t>
  </si>
  <si>
    <t>Verify correct role returned</t>
  </si>
  <si>
    <t>{
  "email": "admin@example.com",
  "password": "password"
}</t>
  </si>
  <si>
    <t>User has assigned role</t>
  </si>
  <si>
    <t>Status Code "200 OK", correct role value returned</t>
  </si>
  <si>
    <t>As expected (admin)</t>
  </si>
  <si>
    <t>API-LOGIN-009</t>
  </si>
  <si>
    <t>Verify token expiry fields</t>
  </si>
  <si>
    <t>Status Code "200 OK", expiresIn &amp; refreshTokenExpiry present and valid</t>
  </si>
  <si>
    <t>API-LOGIN-010</t>
  </si>
  <si>
    <t>Login with SQL injection payload</t>
  </si>
  <si>
    <t>API-LOGIN-011</t>
  </si>
  <si>
    <t>Verify unsupported HTTP method</t>
  </si>
  <si>
    <t>User exist</t>
  </si>
  <si>
    <t>1. Change method to GET
2. Send request</t>
  </si>
  <si>
    <t xml:space="preserve">Status Code "404 Method Not Found" with proper message </t>
  </si>
  <si>
    <t>API-LOGIN-012</t>
  </si>
  <si>
    <t xml:space="preserve">Respone time should be within SLA. </t>
  </si>
  <si>
    <t>Logout From Current Session</t>
  </si>
  <si>
    <t>API-LOGOUT-001</t>
  </si>
  <si>
    <t>Logout with valid access token</t>
  </si>
  <si>
    <t>/v1/auth/logout</t>
  </si>
  <si>
    <t>Authorization: Bearer &lt;valid_token&gt;</t>
  </si>
  <si>
    <t>User logged in, valid access token exists</t>
  </si>
  <si>
    <t>1. Send DELETE request with valid Authorization header</t>
  </si>
  <si>
    <t>Status Code "204 No Content" and Logout successful</t>
  </si>
  <si>
    <t>Logout successfully</t>
  </si>
  <si>
    <t>API-LOGOUT-002</t>
  </si>
  <si>
    <t>Logout without Authorization header</t>
  </si>
  <si>
    <t>1. Send DELETE request without Authorization header</t>
  </si>
  <si>
    <t>Unauthenticated message displayed as expected</t>
  </si>
  <si>
    <t>Token is mandatory</t>
  </si>
  <si>
    <t>API-LOGOUT-003</t>
  </si>
  <si>
    <t>Logout with invalid access token</t>
  </si>
  <si>
    <t>Authorization: Bearer &lt;invalid_token&gt;</t>
  </si>
  <si>
    <t>1. Send DELETE request with invalid token</t>
  </si>
  <si>
    <t>API-LOGOUT-004</t>
  </si>
  <si>
    <t>Logout with expired access token</t>
  </si>
  <si>
    <t>Authorization: Bearer &lt;expired_token&gt;</t>
  </si>
  <si>
    <t>1. Send DELETE request</t>
  </si>
  <si>
    <t>Status Code "401 Unauthorized" with message "Unauthenticated" / Token expired response</t>
  </si>
  <si>
    <t>Session already invalid</t>
  </si>
  <si>
    <t>API-LOGOUT-005</t>
  </si>
  <si>
    <t>Logout same token twice</t>
  </si>
  <si>
    <t>Authorization: Bearer &lt;same_token&gt;</t>
  </si>
  <si>
    <t>User already logged out</t>
  </si>
  <si>
    <t>1. Send DELETE request again</t>
  </si>
  <si>
    <t xml:space="preserve">Status Code "401 Unauthorized" with message "Unauthenticated" </t>
  </si>
  <si>
    <t>Idempotency behavior</t>
  </si>
  <si>
    <t>API-LOGOUT-007</t>
  </si>
  <si>
    <t>Admin logout</t>
  </si>
  <si>
    <t>Admin token</t>
  </si>
  <si>
    <t>API-LOGOUT-008</t>
  </si>
  <si>
    <t>Logout clears refresh token</t>
  </si>
  <si>
    <t>Refresh token exists</t>
  </si>
  <si>
    <t>1. Logout and try refresh token API</t>
  </si>
  <si>
    <t>Refresh token rejected</t>
  </si>
  <si>
    <t>403 Forbidden displayed and refresh token rejected</t>
  </si>
  <si>
    <t>OWASP: Session handling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</si>
</sst>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8">
    <font>
      <sz val="10.0"/>
      <color rgb="FF000000"/>
      <name val="Arial"/>
      <scheme val="minor"/>
    </font>
    <font>
      <color theme="1"/>
      <name val="Arial"/>
      <scheme val="minor"/>
    </font>
    <font>
      <u/>
      <color rgb="FF0000FF"/>
    </font>
    <font>
      <sz val="11.0"/>
      <color rgb="FF000000"/>
      <name val="Calibri"/>
    </font>
    <font>
      <b/>
      <sz val="12.0"/>
      <color rgb="FFFFFFFF"/>
      <name val="Inter"/>
    </font>
    <font>
      <b/>
      <sz val="12.0"/>
      <color rgb="FF000000"/>
      <name val="Inter"/>
    </font>
    <font>
      <sz val="12.0"/>
      <color rgb="FF000000"/>
      <name val="Inter"/>
    </font>
    <font>
      <u/>
      <sz val="12.0"/>
      <color rgb="FF0000FF"/>
      <name val="Inter"/>
    </font>
    <font>
      <color rgb="FF93C47D"/>
      <name val="Arial"/>
      <scheme val="minor"/>
    </font>
    <font>
      <sz val="12.0"/>
      <color theme="0"/>
      <name val="Inter"/>
    </font>
    <font>
      <b/>
      <sz val="12.0"/>
      <color theme="1"/>
      <name val="Inter"/>
    </font>
    <font>
      <u/>
      <sz val="12.0"/>
      <color rgb="FF0000FF"/>
      <name val="Inter"/>
    </font>
    <font/>
    <font>
      <sz val="12.0"/>
      <color theme="1"/>
      <name val="Inter"/>
    </font>
    <font>
      <b/>
      <sz val="12.0"/>
      <color theme="0"/>
      <name val="Inter"/>
    </font>
    <font>
      <sz val="14.0"/>
      <color rgb="FF000000"/>
      <name val="Inter"/>
    </font>
    <font>
      <color theme="1"/>
      <name val="Inter"/>
    </font>
    <font>
      <sz val="14.0"/>
      <color theme="1"/>
      <name val="Inter"/>
    </font>
    <font>
      <sz val="12.0"/>
      <color theme="1"/>
      <name val="Arial"/>
      <scheme val="minor"/>
    </font>
    <font>
      <u/>
      <sz val="12.0"/>
      <color rgb="FF0000FF"/>
      <name val="Inter"/>
    </font>
    <font>
      <sz val="12.0"/>
      <color rgb="FF212121"/>
      <name val="Inter"/>
    </font>
    <font>
      <u/>
      <sz val="12.0"/>
      <color rgb="FF0000FF"/>
      <name val="Inter"/>
    </font>
    <font>
      <color theme="1"/>
      <name val="Arial"/>
    </font>
    <font>
      <sz val="14.0"/>
      <color theme="1"/>
      <name val="Arial"/>
      <scheme val="minor"/>
    </font>
    <font>
      <b/>
      <sz val="14.0"/>
      <color rgb="FFFFFFFF"/>
      <name val="Arial"/>
      <scheme val="minor"/>
    </font>
    <font>
      <u/>
      <sz val="12.0"/>
      <color rgb="FF0000FF"/>
      <name val="Inter"/>
    </font>
    <font>
      <color rgb="FF000000"/>
      <name val="Arial"/>
      <scheme val="minor"/>
    </font>
    <font>
      <u/>
      <color rgb="FF1155CC"/>
      <name val="Arial"/>
    </font>
  </fonts>
  <fills count="15">
    <fill>
      <patternFill patternType="none"/>
    </fill>
    <fill>
      <patternFill patternType="lightGray"/>
    </fill>
    <fill>
      <patternFill patternType="solid">
        <fgColor rgb="FF5B9BD5"/>
        <bgColor rgb="FF5B9BD5"/>
      </patternFill>
    </fill>
    <fill>
      <patternFill patternType="solid">
        <fgColor rgb="FFDDEBF7"/>
        <bgColor rgb="FFDDEBF7"/>
      </patternFill>
    </fill>
    <fill>
      <patternFill patternType="solid">
        <fgColor rgb="FFCFE2F3"/>
        <bgColor rgb="FFCFE2F3"/>
      </patternFill>
    </fill>
    <fill>
      <patternFill patternType="solid">
        <fgColor rgb="FF6AA84F"/>
        <bgColor rgb="FF6AA84F"/>
      </patternFill>
    </fill>
    <fill>
      <patternFill patternType="solid">
        <fgColor rgb="FFFF0000"/>
        <bgColor rgb="FFFF0000"/>
      </patternFill>
    </fill>
    <fill>
      <patternFill patternType="solid">
        <fgColor rgb="FFE1E3E1"/>
        <bgColor rgb="FFE1E3E1"/>
      </patternFill>
    </fill>
    <fill>
      <patternFill patternType="solid">
        <fgColor rgb="FF38761D"/>
        <bgColor rgb="FF38761D"/>
      </patternFill>
    </fill>
    <fill>
      <patternFill patternType="solid">
        <fgColor theme="0"/>
        <bgColor theme="0"/>
      </patternFill>
    </fill>
    <fill>
      <patternFill patternType="solid">
        <fgColor theme="7"/>
        <bgColor theme="7"/>
      </patternFill>
    </fill>
    <fill>
      <patternFill patternType="solid">
        <fgColor rgb="FF6FA8DC"/>
        <bgColor rgb="FF6FA8DC"/>
      </patternFill>
    </fill>
    <fill>
      <patternFill patternType="solid">
        <fgColor rgb="FFFCE5CD"/>
        <bgColor rgb="FFFCE5CD"/>
      </patternFill>
    </fill>
    <fill>
      <patternFill patternType="solid">
        <fgColor rgb="FFFFFFFF"/>
        <bgColor rgb="FFFFFFFF"/>
      </patternFill>
    </fill>
    <fill>
      <patternFill patternType="solid">
        <fgColor rgb="FF43509B"/>
        <bgColor rgb="FF43509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readingOrder="0"/>
    </xf>
    <xf borderId="0" fillId="0" fontId="3" numFmtId="0" xfId="0" applyAlignment="1" applyFont="1">
      <alignment horizontal="left" shrinkToFit="0" wrapText="0"/>
    </xf>
    <xf borderId="1" fillId="2" fontId="4" numFmtId="0" xfId="0" applyAlignment="1" applyBorder="1" applyFill="1" applyFont="1">
      <alignment horizontal="center" readingOrder="0" shrinkToFit="0" vertical="center" wrapText="1"/>
    </xf>
    <xf borderId="1" fillId="3" fontId="5" numFmtId="0" xfId="0" applyAlignment="1" applyBorder="1" applyFill="1" applyFont="1">
      <alignment horizontal="left" readingOrder="0" shrinkToFit="0" vertical="center" wrapText="1"/>
    </xf>
    <xf borderId="1" fillId="4" fontId="6" numFmtId="0" xfId="0" applyAlignment="1" applyBorder="1" applyFill="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shrinkToFit="0" vertical="center" wrapText="1"/>
    </xf>
    <xf borderId="0" fillId="0" fontId="8" numFmtId="0" xfId="0" applyAlignment="1" applyFont="1">
      <alignment horizontal="left"/>
    </xf>
    <xf borderId="1" fillId="5" fontId="9" numFmtId="0" xfId="0" applyAlignment="1" applyBorder="1" applyFill="1" applyFont="1">
      <alignment horizontal="center" shrinkToFit="0" vertical="center" wrapText="1"/>
    </xf>
    <xf borderId="1" fillId="6" fontId="9" numFmtId="0" xfId="0" applyAlignment="1" applyBorder="1" applyFill="1" applyFont="1">
      <alignment horizontal="center" shrinkToFit="0" vertical="center" wrapText="1"/>
    </xf>
    <xf borderId="1" fillId="7" fontId="6" numFmtId="0" xfId="0" applyAlignment="1" applyBorder="1" applyFill="1" applyFont="1">
      <alignment horizontal="center" shrinkToFit="0" vertical="center" wrapText="1"/>
    </xf>
    <xf borderId="1" fillId="8" fontId="9" numFmtId="0" xfId="0" applyAlignment="1" applyBorder="1" applyFill="1" applyFont="1">
      <alignment horizontal="center" shrinkToFit="0" vertical="center" wrapText="1"/>
    </xf>
    <xf borderId="1" fillId="0" fontId="6" numFmtId="164" xfId="0" applyAlignment="1" applyBorder="1" applyFont="1" applyNumberFormat="1">
      <alignment horizontal="left" readingOrder="0" shrinkToFit="0" vertical="center" wrapText="1"/>
    </xf>
    <xf borderId="0" fillId="0" fontId="1" numFmtId="0" xfId="0" applyAlignment="1" applyFont="1">
      <alignment horizontal="center"/>
    </xf>
    <xf borderId="0" fillId="9" fontId="1" numFmtId="0" xfId="0" applyAlignment="1" applyFill="1" applyFont="1">
      <alignment horizontal="center"/>
    </xf>
    <xf borderId="1" fillId="10" fontId="9" numFmtId="0" xfId="0" applyAlignment="1" applyBorder="1" applyFill="1" applyFont="1">
      <alignment horizontal="center" shrinkToFit="0" vertical="center" wrapText="1"/>
    </xf>
    <xf borderId="0" fillId="9" fontId="1" numFmtId="0" xfId="0" applyAlignment="1" applyFont="1">
      <alignment horizontal="left"/>
    </xf>
    <xf borderId="2" fillId="0" fontId="10" numFmtId="0" xfId="0" applyAlignment="1" applyBorder="1" applyFont="1">
      <alignment horizontal="center" shrinkToFit="0" wrapText="1"/>
    </xf>
    <xf borderId="0" fillId="0" fontId="11" numFmtId="0" xfId="0" applyAlignment="1" applyFont="1">
      <alignment readingOrder="0" shrinkToFit="0" vertical="center" wrapText="1"/>
    </xf>
    <xf borderId="3" fillId="0" fontId="12" numFmtId="0" xfId="0" applyBorder="1" applyFont="1"/>
    <xf borderId="4" fillId="0" fontId="12" numFmtId="0" xfId="0" applyBorder="1" applyFont="1"/>
    <xf borderId="0" fillId="0" fontId="13" numFmtId="0" xfId="0" applyAlignment="1" applyFont="1">
      <alignment readingOrder="0" shrinkToFit="0" vertical="center" wrapText="1"/>
    </xf>
    <xf borderId="0" fillId="0" fontId="13" numFmtId="0" xfId="0" applyAlignment="1" applyFont="1">
      <alignment horizontal="center" shrinkToFit="0" vertical="center" wrapText="1"/>
    </xf>
    <xf borderId="1" fillId="0" fontId="10" numFmtId="0" xfId="0" applyAlignment="1" applyBorder="1" applyFont="1">
      <alignment horizontal="center" shrinkToFit="0" wrapText="1"/>
    </xf>
    <xf borderId="0" fillId="0" fontId="13" numFmtId="0" xfId="0" applyAlignment="1" applyFont="1">
      <alignment shrinkToFit="0" vertical="center" wrapText="1"/>
    </xf>
    <xf borderId="1" fillId="5" fontId="4" numFmtId="0" xfId="0" applyAlignment="1" applyBorder="1" applyFont="1">
      <alignment horizontal="center" shrinkToFit="0" wrapText="1"/>
    </xf>
    <xf borderId="1" fillId="6" fontId="4" numFmtId="0" xfId="0" applyAlignment="1" applyBorder="1" applyFont="1">
      <alignment horizontal="center" shrinkToFit="0" wrapText="1"/>
    </xf>
    <xf borderId="1" fillId="7" fontId="10" numFmtId="0" xfId="0" applyAlignment="1" applyBorder="1" applyFont="1">
      <alignment horizontal="center" shrinkToFit="0" wrapText="1"/>
    </xf>
    <xf borderId="1" fillId="8" fontId="14" numFmtId="0" xfId="0" applyAlignment="1" applyBorder="1" applyFont="1">
      <alignment horizontal="center" shrinkToFit="0" wrapText="1"/>
    </xf>
    <xf borderId="1" fillId="11" fontId="4" numFmtId="0" xfId="0" applyAlignment="1" applyBorder="1" applyFill="1" applyFont="1">
      <alignment horizontal="center" readingOrder="0" shrinkToFit="0" vertical="center" wrapText="1"/>
    </xf>
    <xf borderId="1" fillId="11" fontId="4" numFmtId="0" xfId="0" applyAlignment="1" applyBorder="1" applyFont="1">
      <alignment horizontal="center" shrinkToFit="0" vertical="center" wrapText="1"/>
    </xf>
    <xf borderId="1" fillId="12" fontId="4" numFmtId="0" xfId="0" applyAlignment="1" applyBorder="1" applyFill="1" applyFont="1">
      <alignment horizontal="center" readingOrder="0" shrinkToFit="0" vertical="center" wrapText="1"/>
    </xf>
    <xf borderId="2" fillId="12" fontId="15" numFmtId="0" xfId="0" applyAlignment="1" applyBorder="1" applyFont="1">
      <alignment horizontal="center" readingOrder="0" shrinkToFit="0" vertical="center" wrapText="1"/>
    </xf>
    <xf borderId="2" fillId="12" fontId="4"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0" fillId="0" fontId="16" numFmtId="0" xfId="0" applyAlignment="1" applyFont="1">
      <alignment vertical="center"/>
    </xf>
    <xf borderId="1" fillId="0" fontId="6" numFmtId="0" xfId="0" applyAlignment="1" applyBorder="1" applyFont="1">
      <alignment shrinkToFit="0" vertical="center" wrapText="1"/>
    </xf>
    <xf borderId="1" fillId="0" fontId="6" numFmtId="0" xfId="0" applyAlignment="1" applyBorder="1" applyFont="1">
      <alignment shrinkToFit="0" vertical="center" wrapText="1"/>
    </xf>
    <xf borderId="1" fillId="12" fontId="17" numFmtId="0" xfId="0" applyAlignment="1" applyBorder="1" applyFont="1">
      <alignment horizontal="center" readingOrder="0" shrinkToFit="0" vertical="center" wrapText="1"/>
    </xf>
    <xf borderId="2" fillId="12" fontId="17"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0" fillId="0" fontId="18" numFmtId="0" xfId="0" applyAlignment="1" applyFont="1">
      <alignment readingOrder="0" shrinkToFit="0" vertical="center" wrapText="1"/>
    </xf>
    <xf borderId="1" fillId="0" fontId="13" numFmtId="0" xfId="0" applyAlignment="1" applyBorder="1" applyFont="1">
      <alignment horizontal="left" shrinkToFit="0" vertical="center" wrapText="1"/>
    </xf>
    <xf borderId="1" fillId="12" fontId="13" numFmtId="0" xfId="0" applyAlignment="1" applyBorder="1" applyFont="1">
      <alignment horizontal="center" readingOrder="0" shrinkToFit="0" vertical="center" wrapText="1"/>
    </xf>
    <xf borderId="2" fillId="12" fontId="13" numFmtId="0" xfId="0" applyAlignment="1" applyBorder="1" applyFont="1">
      <alignment horizontal="center" readingOrder="0" shrinkToFit="0" vertical="center" wrapText="1"/>
    </xf>
    <xf borderId="1" fillId="0" fontId="13" numFmtId="0" xfId="0" applyAlignment="1" applyBorder="1" applyFont="1">
      <alignment horizontal="left" readingOrder="0" shrinkToFit="0" vertical="center" wrapText="1"/>
    </xf>
    <xf borderId="1" fillId="0" fontId="13" numFmtId="0" xfId="0" applyAlignment="1" applyBorder="1" applyFont="1">
      <alignment vertical="center"/>
    </xf>
    <xf borderId="1" fillId="0" fontId="13"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1" fillId="0" fontId="13" numFmtId="0" xfId="0" applyAlignment="1" applyBorder="1" applyFont="1">
      <alignment shrinkToFit="0" vertical="center" wrapText="1"/>
    </xf>
    <xf borderId="1" fillId="10" fontId="4" numFmtId="0" xfId="0" applyAlignment="1" applyBorder="1" applyFont="1">
      <alignment horizontal="center" shrinkToFit="0" wrapText="1"/>
    </xf>
    <xf borderId="0" fillId="0" fontId="1" numFmtId="0" xfId="0" applyAlignment="1" applyFont="1">
      <alignment horizontal="left" readingOrder="0"/>
    </xf>
    <xf borderId="0" fillId="0" fontId="1" numFmtId="0" xfId="0" applyAlignment="1" applyFont="1">
      <alignment readingOrder="0"/>
    </xf>
    <xf borderId="1" fillId="0" fontId="13" numFmtId="0" xfId="0" applyAlignment="1" applyBorder="1" applyFont="1">
      <alignment readingOrder="0" shrinkToFit="0" wrapText="1"/>
    </xf>
    <xf borderId="0" fillId="0" fontId="13" numFmtId="0" xfId="0" applyAlignment="1" applyFont="1">
      <alignment vertical="center"/>
    </xf>
    <xf borderId="1" fillId="0" fontId="13" numFmtId="0" xfId="0" applyAlignment="1" applyBorder="1" applyFont="1">
      <alignment shrinkToFit="0" wrapText="1"/>
    </xf>
    <xf borderId="0" fillId="0" fontId="19" numFmtId="0" xfId="0" applyAlignment="1" applyFont="1">
      <alignment horizontal="left" readingOrder="0" shrinkToFit="0" vertical="center" wrapText="1"/>
    </xf>
    <xf borderId="1" fillId="0" fontId="13" numFmtId="0" xfId="0" applyAlignment="1" applyBorder="1" applyFont="1">
      <alignment shrinkToFit="0" vertical="center" wrapText="1"/>
    </xf>
    <xf borderId="1" fillId="13" fontId="20" numFmtId="0" xfId="0" applyAlignment="1" applyBorder="1" applyFill="1" applyFont="1">
      <alignment horizontal="center" readingOrder="0" shrinkToFit="0" vertical="center" wrapText="1"/>
    </xf>
    <xf borderId="1" fillId="13" fontId="20" numFmtId="0" xfId="0" applyAlignment="1" applyBorder="1" applyFont="1">
      <alignment horizontal="left" readingOrder="0" shrinkToFit="0" vertical="center" wrapText="1"/>
    </xf>
    <xf borderId="1" fillId="0" fontId="13" numFmtId="0" xfId="0" applyAlignment="1" applyBorder="1" applyFont="1">
      <alignment shrinkToFit="0" wrapText="1"/>
    </xf>
    <xf borderId="0" fillId="0" fontId="13" numFmtId="0" xfId="0" applyAlignment="1" applyFont="1">
      <alignment horizontal="left" shrinkToFit="0" vertical="center" wrapText="1"/>
    </xf>
    <xf borderId="2" fillId="12" fontId="13" numFmtId="0" xfId="0" applyAlignment="1" applyBorder="1" applyFont="1">
      <alignment horizontal="center" shrinkToFit="0" vertical="center" wrapText="1"/>
    </xf>
    <xf borderId="1" fillId="0" fontId="21" numFmtId="0" xfId="0" applyAlignment="1" applyBorder="1" applyFont="1">
      <alignment readingOrder="0" shrinkToFit="0" vertical="center" wrapText="1"/>
    </xf>
    <xf borderId="1" fillId="0" fontId="22" numFmtId="0" xfId="0" applyAlignment="1" applyBorder="1" applyFont="1">
      <alignment horizontal="left" vertical="center"/>
    </xf>
    <xf quotePrefix="1" borderId="1" fillId="0" fontId="6" numFmtId="0" xfId="0" applyAlignment="1" applyBorder="1" applyFont="1">
      <alignment readingOrder="0" shrinkToFit="0" vertical="center" wrapText="1"/>
    </xf>
    <xf borderId="1" fillId="0" fontId="23" numFmtId="0" xfId="0" applyAlignment="1" applyBorder="1" applyFont="1">
      <alignment horizontal="center" shrinkToFit="0" vertical="center" wrapText="1"/>
    </xf>
    <xf borderId="1" fillId="0" fontId="23" numFmtId="0" xfId="0" applyAlignment="1" applyBorder="1" applyFont="1">
      <alignment shrinkToFit="0" vertical="center" wrapText="1"/>
    </xf>
    <xf borderId="1" fillId="14" fontId="24" numFmtId="0" xfId="0" applyAlignment="1" applyBorder="1" applyFill="1" applyFont="1">
      <alignment horizontal="center" shrinkToFit="0" vertical="center" wrapText="1"/>
    </xf>
    <xf borderId="1" fillId="0" fontId="23" numFmtId="0" xfId="0" applyAlignment="1" applyBorder="1" applyFont="1">
      <alignment horizontal="center" readingOrder="0" shrinkToFit="0" vertical="center" wrapText="1"/>
    </xf>
    <xf borderId="1" fillId="0" fontId="23" numFmtId="0" xfId="0" applyAlignment="1" applyBorder="1" applyFont="1">
      <alignment readingOrder="0" shrinkToFit="0" vertical="center" wrapText="1"/>
    </xf>
    <xf borderId="1" fillId="0" fontId="23" numFmtId="0" xfId="0" applyAlignment="1" applyBorder="1" applyFont="1">
      <alignment horizontal="center" shrinkToFit="0" vertical="center" wrapText="1"/>
    </xf>
    <xf borderId="0" fillId="9" fontId="17" numFmtId="0" xfId="0" applyAlignment="1" applyFont="1">
      <alignment horizontal="center" readingOrder="0" shrinkToFit="0" vertical="center" wrapText="1"/>
    </xf>
    <xf borderId="0" fillId="9" fontId="13" numFmtId="0" xfId="0" applyAlignment="1" applyFont="1">
      <alignment horizontal="center" readingOrder="0" shrinkToFit="0" vertical="center" wrapText="1"/>
    </xf>
    <xf borderId="1" fillId="0" fontId="25" numFmtId="0" xfId="0" applyAlignment="1" applyBorder="1" applyFont="1">
      <alignment readingOrder="0" shrinkToFit="0" vertical="center" wrapText="1"/>
    </xf>
    <xf borderId="0" fillId="0" fontId="26" numFmtId="0" xfId="0" applyAlignment="1" applyFont="1">
      <alignment readingOrder="0"/>
    </xf>
    <xf borderId="1" fillId="12" fontId="6" numFmtId="0" xfId="0" applyAlignment="1" applyBorder="1" applyFont="1">
      <alignment horizontal="center" readingOrder="0" shrinkToFit="0" vertical="center" wrapText="1"/>
    </xf>
    <xf borderId="2" fillId="12" fontId="15" numFmtId="0" xfId="0" applyAlignment="1" applyBorder="1" applyFont="1">
      <alignment horizontal="center" readingOrder="0" shrinkToFit="0" vertical="center" wrapText="1"/>
    </xf>
    <xf borderId="2" fillId="12" fontId="6" numFmtId="0" xfId="0" applyAlignment="1" applyBorder="1" applyFont="1">
      <alignment horizontal="center" readingOrder="0" shrinkToFit="0" vertical="center" wrapText="1"/>
    </xf>
    <xf borderId="0" fillId="0" fontId="27" numFmtId="0" xfId="0" applyAlignment="1" applyFont="1">
      <alignment vertical="bottom"/>
    </xf>
    <xf borderId="0" fillId="0" fontId="1" numFmtId="0" xfId="0" applyAlignment="1" applyFont="1">
      <alignment vertical="center"/>
    </xf>
    <xf borderId="1" fillId="0" fontId="13" numFmtId="0" xfId="0" applyAlignment="1" applyBorder="1" applyFont="1">
      <alignment readingOrder="0" shrinkToFit="0" vertical="center" wrapText="1"/>
    </xf>
    <xf borderId="1" fillId="12" fontId="6" numFmtId="0" xfId="0" applyAlignment="1" applyBorder="1" applyFont="1">
      <alignment readingOrder="0" shrinkToFit="0" vertical="center" wrapText="1"/>
    </xf>
    <xf borderId="1" fillId="0" fontId="6"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200025</xdr:rowOff>
    </xdr:from>
    <xdr:ext cx="8162925" cy="1600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xdr:row>
      <xdr:rowOff>200025</xdr:rowOff>
    </xdr:from>
    <xdr:ext cx="6238875" cy="21717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a@b.c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 customWidth="1" min="3" max="3" width="28.0"/>
    <col customWidth="1" min="4" max="4" width="37.63"/>
    <col customWidth="1" min="5" max="5" width="15.75"/>
    <col customWidth="1" min="6" max="6" width="21.75"/>
    <col customWidth="1" min="7" max="7" width="24.63"/>
    <col customWidth="1" min="8" max="8" width="21.38"/>
    <col customWidth="1" min="9" max="9" width="23.13"/>
    <col customWidth="1" min="10" max="10" width="18.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c r="C2" s="3"/>
      <c r="D2" s="3"/>
      <c r="E2" s="3"/>
      <c r="F2" s="3"/>
      <c r="G2" s="3"/>
      <c r="H2" s="3"/>
      <c r="I2" s="1"/>
      <c r="J2" s="1"/>
      <c r="K2" s="1"/>
      <c r="L2" s="1"/>
      <c r="M2" s="1"/>
      <c r="N2" s="1"/>
      <c r="O2" s="1"/>
      <c r="P2" s="1"/>
      <c r="Q2" s="1"/>
      <c r="R2" s="1"/>
      <c r="S2" s="1"/>
      <c r="T2" s="1"/>
      <c r="U2" s="1"/>
      <c r="V2" s="1"/>
      <c r="W2" s="1"/>
      <c r="X2" s="1"/>
      <c r="Y2" s="1"/>
      <c r="Z2" s="1"/>
    </row>
    <row r="3">
      <c r="A3" s="1"/>
      <c r="B3" s="5" t="s">
        <v>5</v>
      </c>
      <c r="C3" s="6" t="s">
        <v>9</v>
      </c>
      <c r="D3" s="3"/>
      <c r="E3" s="3"/>
      <c r="F3" s="3"/>
      <c r="G3" s="3"/>
      <c r="H3" s="3"/>
      <c r="I3" s="1"/>
      <c r="J3" s="1"/>
      <c r="K3" s="1"/>
      <c r="L3" s="1"/>
      <c r="M3" s="1"/>
      <c r="N3" s="1"/>
      <c r="O3" s="1"/>
      <c r="P3" s="1"/>
      <c r="Q3" s="1"/>
      <c r="R3" s="1"/>
      <c r="S3" s="1"/>
      <c r="T3" s="1"/>
      <c r="U3" s="1"/>
      <c r="V3" s="1"/>
      <c r="W3" s="1"/>
      <c r="X3" s="1"/>
      <c r="Y3" s="1"/>
      <c r="Z3" s="1"/>
    </row>
    <row r="4">
      <c r="A4" s="1"/>
      <c r="B4" s="5" t="s">
        <v>15</v>
      </c>
      <c r="C4" s="9" t="s">
        <v>16</v>
      </c>
      <c r="D4" s="3"/>
      <c r="E4" s="3"/>
      <c r="F4" s="3"/>
      <c r="G4" s="3"/>
      <c r="H4" s="3"/>
      <c r="I4" s="1"/>
      <c r="J4" s="1"/>
      <c r="K4" s="1"/>
      <c r="L4" s="1"/>
      <c r="M4" s="1"/>
      <c r="N4" s="1"/>
      <c r="O4" s="1"/>
      <c r="P4" s="1"/>
      <c r="Q4" s="1"/>
      <c r="R4" s="1"/>
      <c r="S4" s="1"/>
      <c r="T4" s="1"/>
      <c r="U4" s="1"/>
      <c r="V4" s="1"/>
      <c r="W4" s="1"/>
      <c r="X4" s="1"/>
      <c r="Y4" s="1"/>
      <c r="Z4" s="1"/>
    </row>
    <row r="5">
      <c r="A5" s="1"/>
      <c r="B5" s="5" t="s">
        <v>19</v>
      </c>
      <c r="C5" s="9" t="s">
        <v>14</v>
      </c>
      <c r="D5" s="3"/>
      <c r="G5" s="3"/>
      <c r="H5" s="3"/>
      <c r="I5" s="1"/>
      <c r="J5" s="11"/>
      <c r="K5" s="1"/>
      <c r="L5" s="1"/>
      <c r="M5" s="1"/>
      <c r="N5" s="1"/>
      <c r="O5" s="1"/>
      <c r="P5" s="1"/>
      <c r="Q5" s="1"/>
      <c r="R5" s="1"/>
      <c r="S5" s="1"/>
      <c r="T5" s="1"/>
      <c r="U5" s="1"/>
      <c r="V5" s="1"/>
      <c r="W5" s="1"/>
      <c r="X5" s="1"/>
      <c r="Y5" s="1"/>
      <c r="Z5" s="1"/>
    </row>
    <row r="6">
      <c r="A6" s="1"/>
      <c r="B6" s="5" t="s">
        <v>22</v>
      </c>
      <c r="C6" s="9" t="s">
        <v>16</v>
      </c>
      <c r="D6" s="3"/>
      <c r="E6" s="3"/>
      <c r="F6" s="3"/>
      <c r="G6" s="3"/>
      <c r="H6" s="3"/>
      <c r="I6" s="1"/>
      <c r="J6" s="1"/>
      <c r="K6" s="1"/>
      <c r="L6" s="1"/>
      <c r="M6" s="1"/>
      <c r="N6" s="1"/>
      <c r="O6" s="1"/>
      <c r="P6" s="1"/>
      <c r="Q6" s="1"/>
      <c r="R6" s="1"/>
      <c r="S6" s="1"/>
      <c r="T6" s="1"/>
      <c r="U6" s="1"/>
      <c r="V6" s="1"/>
      <c r="W6" s="1"/>
      <c r="X6" s="1"/>
      <c r="Y6" s="1"/>
      <c r="Z6" s="1"/>
    </row>
    <row r="7">
      <c r="A7" s="1"/>
      <c r="B7" s="5" t="s">
        <v>23</v>
      </c>
      <c r="C7" s="16">
        <v>45881.0</v>
      </c>
      <c r="D7" s="3"/>
      <c r="E7" s="3"/>
      <c r="F7" s="3"/>
      <c r="G7" s="3"/>
      <c r="H7" s="3"/>
      <c r="I7" s="1"/>
      <c r="J7" s="1"/>
      <c r="K7" s="1"/>
      <c r="L7" s="1"/>
      <c r="M7" s="1"/>
      <c r="N7" s="1"/>
      <c r="O7" s="1"/>
      <c r="P7" s="1"/>
      <c r="Q7" s="1"/>
      <c r="R7" s="1"/>
      <c r="S7" s="1"/>
      <c r="T7" s="1"/>
      <c r="U7" s="1"/>
      <c r="V7" s="1"/>
      <c r="W7" s="1"/>
      <c r="X7" s="1"/>
      <c r="Y7" s="1"/>
      <c r="Z7" s="1"/>
    </row>
    <row r="8">
      <c r="A8" s="1"/>
      <c r="B8" s="5" t="s">
        <v>26</v>
      </c>
      <c r="C8" s="9" t="s">
        <v>27</v>
      </c>
      <c r="D8" s="3"/>
      <c r="E8" s="3"/>
      <c r="F8" s="3"/>
      <c r="G8" s="3"/>
      <c r="H8" s="3"/>
      <c r="I8" s="1"/>
      <c r="J8" s="1"/>
      <c r="K8" s="1"/>
      <c r="L8" s="1"/>
      <c r="M8" s="1"/>
      <c r="N8" s="1"/>
      <c r="O8" s="1"/>
      <c r="P8" s="1"/>
      <c r="Q8" s="1"/>
      <c r="R8" s="1"/>
      <c r="S8" s="1"/>
      <c r="T8" s="1"/>
      <c r="U8" s="1"/>
      <c r="V8" s="1"/>
      <c r="W8" s="1"/>
      <c r="X8" s="1"/>
      <c r="Y8" s="1"/>
      <c r="Z8" s="1"/>
    </row>
    <row r="9">
      <c r="A9" s="1"/>
      <c r="B9" s="3"/>
      <c r="C9" s="3"/>
      <c r="D9" s="3"/>
      <c r="E9" s="3"/>
      <c r="F9" s="3"/>
      <c r="G9" s="3"/>
      <c r="H9" s="3"/>
      <c r="I9" s="1"/>
      <c r="J9" s="1"/>
      <c r="K9" s="1"/>
      <c r="L9" s="1"/>
      <c r="M9" s="1"/>
      <c r="N9" s="1"/>
      <c r="O9" s="1"/>
      <c r="P9" s="1"/>
      <c r="Q9" s="1"/>
      <c r="R9" s="1"/>
      <c r="S9" s="1"/>
      <c r="T9" s="1"/>
      <c r="U9" s="1"/>
      <c r="V9" s="1"/>
      <c r="W9" s="1"/>
      <c r="X9" s="1"/>
      <c r="Y9" s="1"/>
      <c r="Z9" s="1"/>
    </row>
    <row r="10">
      <c r="A10" s="17"/>
      <c r="B10" s="4" t="s">
        <v>1</v>
      </c>
      <c r="C10" s="4" t="s">
        <v>2</v>
      </c>
      <c r="D10" s="4" t="s">
        <v>3</v>
      </c>
      <c r="E10" s="4" t="s">
        <v>4</v>
      </c>
      <c r="F10" s="4" t="s">
        <v>6</v>
      </c>
      <c r="G10" s="4" t="s">
        <v>7</v>
      </c>
      <c r="H10" s="4" t="s">
        <v>8</v>
      </c>
      <c r="I10" s="4" t="s">
        <v>10</v>
      </c>
      <c r="J10" s="4" t="s">
        <v>11</v>
      </c>
      <c r="K10" s="18"/>
      <c r="L10" s="18"/>
      <c r="M10" s="18"/>
      <c r="N10" s="18"/>
      <c r="O10" s="18"/>
      <c r="P10" s="18"/>
      <c r="Q10" s="18"/>
      <c r="R10" s="18"/>
      <c r="S10" s="18"/>
      <c r="T10" s="18"/>
      <c r="U10" s="18"/>
      <c r="V10" s="18"/>
      <c r="W10" s="18"/>
      <c r="X10" s="18"/>
      <c r="Y10" s="18"/>
      <c r="Z10" s="17"/>
    </row>
    <row r="11">
      <c r="A11" s="1"/>
      <c r="B11" s="7" t="s">
        <v>34</v>
      </c>
      <c r="C11" s="8" t="s">
        <v>14</v>
      </c>
      <c r="D11" s="8" t="s">
        <v>35</v>
      </c>
      <c r="E11" s="8" t="s">
        <v>18</v>
      </c>
      <c r="F11" s="10">
        <f>COUNTA(LoginFunctionality!A3:A1000)</f>
        <v>19</v>
      </c>
      <c r="G11" s="19">
        <f>COUNTIF(LoginFunctionality!I:I, "Pass")</f>
        <v>11</v>
      </c>
      <c r="H11" s="13">
        <f>COUNTIF(LoginFunctionality!I:I, "Fail")</f>
        <v>0</v>
      </c>
      <c r="I11" s="14">
        <f>COUNTIF(LoginFunctionality!I:I, "Not Tested")</f>
        <v>8</v>
      </c>
      <c r="J11" s="15">
        <f>COUNTIF(LoginFunctionality!I:I, "Fixed")</f>
        <v>0</v>
      </c>
      <c r="K11" s="20"/>
      <c r="L11" s="20"/>
      <c r="M11" s="20"/>
      <c r="N11" s="20"/>
      <c r="O11" s="20"/>
      <c r="P11" s="20"/>
      <c r="Q11" s="20"/>
      <c r="R11" s="20"/>
      <c r="S11" s="20"/>
      <c r="T11" s="20"/>
      <c r="U11" s="20"/>
      <c r="V11" s="20"/>
      <c r="W11" s="20"/>
      <c r="X11" s="20"/>
      <c r="Y11" s="20"/>
      <c r="Z11" s="1"/>
    </row>
    <row r="12">
      <c r="A12" s="1"/>
      <c r="B12" s="7" t="s">
        <v>44</v>
      </c>
      <c r="C12" s="8" t="s">
        <v>14</v>
      </c>
      <c r="D12" s="8" t="s">
        <v>45</v>
      </c>
      <c r="E12" s="8" t="s">
        <v>18</v>
      </c>
      <c r="F12" s="10">
        <f>COUNTA(RegistrationFunctionality!A3:A1000)</f>
        <v>24</v>
      </c>
      <c r="G12" s="19">
        <f>COUNTIF(RegistrationFunctionality!I:I, "Pass")</f>
        <v>0</v>
      </c>
      <c r="H12" s="13">
        <f>COUNTIF(RegistrationFunctionality!I:I, "Fail")</f>
        <v>0</v>
      </c>
      <c r="I12" s="14">
        <f>COUNTIF(RegistrationFunctionality!I:I, "Not Tested")</f>
        <v>24</v>
      </c>
      <c r="J12" s="15">
        <f>COUNTIF(RegistrationFunctionality!I:I, "Fixed")</f>
        <v>0</v>
      </c>
      <c r="K12" s="20"/>
      <c r="L12" s="20"/>
      <c r="M12" s="20"/>
      <c r="N12" s="20"/>
      <c r="O12" s="20"/>
      <c r="P12" s="20"/>
      <c r="Q12" s="20"/>
      <c r="R12" s="20"/>
      <c r="S12" s="20"/>
      <c r="T12" s="20"/>
      <c r="U12" s="20"/>
      <c r="V12" s="20"/>
      <c r="W12" s="20"/>
      <c r="X12" s="20"/>
      <c r="Y12" s="20"/>
      <c r="Z12" s="1"/>
    </row>
    <row r="13">
      <c r="A13" s="1"/>
      <c r="B13" s="7" t="s">
        <v>53</v>
      </c>
      <c r="C13" s="8" t="s">
        <v>14</v>
      </c>
      <c r="D13" s="8" t="s">
        <v>54</v>
      </c>
      <c r="E13" s="8" t="s">
        <v>18</v>
      </c>
      <c r="F13" s="10">
        <f>COUNTA(PasswordManagement!A3:A1000)</f>
        <v>43</v>
      </c>
      <c r="G13" s="19">
        <f>COUNTIF(PasswordManagement!I:I, "Pass")</f>
        <v>0</v>
      </c>
      <c r="H13" s="13">
        <f>COUNTIF(PasswordManagement!I:I, "Fail")</f>
        <v>0</v>
      </c>
      <c r="I13" s="14">
        <f>COUNTIF(PasswordManagement!I:I, "Not Tested")</f>
        <v>43</v>
      </c>
      <c r="J13" s="15">
        <f>COUNTIF(PasswordManagement!I:I, "Fixed")</f>
        <v>0</v>
      </c>
      <c r="K13" s="20"/>
      <c r="L13" s="20"/>
      <c r="M13" s="20"/>
      <c r="N13" s="20"/>
      <c r="O13" s="20"/>
      <c r="P13" s="20"/>
      <c r="Q13" s="20"/>
      <c r="R13" s="20"/>
      <c r="S13" s="20"/>
      <c r="T13" s="20"/>
      <c r="U13" s="20"/>
      <c r="V13" s="20"/>
      <c r="W13" s="20"/>
      <c r="X13" s="20"/>
      <c r="Y13" s="20"/>
      <c r="Z13" s="1"/>
    </row>
    <row r="14">
      <c r="A14" s="1"/>
      <c r="B14" s="7" t="s">
        <v>62</v>
      </c>
      <c r="C14" s="8" t="s">
        <v>14</v>
      </c>
      <c r="D14" s="8" t="s">
        <v>64</v>
      </c>
      <c r="E14" s="8" t="s">
        <v>18</v>
      </c>
      <c r="F14" s="10">
        <f>COUNTA(ForgotPassword!A3:A1000)</f>
        <v>10</v>
      </c>
      <c r="G14" s="19">
        <f>COUNTIF(ForgotPassword!I:I, "Pass")</f>
        <v>0</v>
      </c>
      <c r="H14" s="13">
        <f>COUNTIF(ForgotPassword!I:I, "Fail")</f>
        <v>0</v>
      </c>
      <c r="I14" s="14">
        <f>COUNTIF(ForgotPassword!I:I, "Not Tested")</f>
        <v>10</v>
      </c>
      <c r="J14" s="15">
        <f>COUNTIF(ForgotPassword!I:I, "Fixed")</f>
        <v>0</v>
      </c>
      <c r="K14" s="20"/>
      <c r="L14" s="20"/>
      <c r="M14" s="20"/>
      <c r="N14" s="20"/>
      <c r="O14" s="20"/>
      <c r="P14" s="20"/>
      <c r="Q14" s="20"/>
      <c r="R14" s="20"/>
      <c r="S14" s="20"/>
      <c r="T14" s="20"/>
      <c r="U14" s="20"/>
      <c r="V14" s="20"/>
      <c r="W14" s="20"/>
      <c r="X14" s="20"/>
      <c r="Y14" s="20"/>
      <c r="Z14" s="1"/>
    </row>
    <row r="15">
      <c r="A15" s="1"/>
      <c r="B15" s="7" t="s">
        <v>68</v>
      </c>
      <c r="C15" s="8" t="s">
        <v>14</v>
      </c>
      <c r="D15" s="8" t="s">
        <v>70</v>
      </c>
      <c r="E15" s="8" t="s">
        <v>18</v>
      </c>
      <c r="F15" s="10">
        <f>COUNTA(SessionManagement!A3:A1000)</f>
        <v>1</v>
      </c>
      <c r="G15" s="19" t="str">
        <f>COUNTIF(SessionManagement!I:I, "Pass")</f>
        <v>#REF!</v>
      </c>
      <c r="H15" s="13" t="str">
        <f>COUNTIF(SessionManagement!I:I, "Fail")</f>
        <v>#REF!</v>
      </c>
      <c r="I15" s="14" t="str">
        <f>COUNTIF(SessionManagement!I:I, "Not Tested")</f>
        <v>#REF!</v>
      </c>
      <c r="J15" s="15" t="str">
        <f>COUNTIF(SessionManagement!I:I, "Fixed")</f>
        <v>#REF!</v>
      </c>
      <c r="K15" s="20"/>
      <c r="L15" s="20"/>
      <c r="M15" s="20"/>
      <c r="N15" s="20"/>
      <c r="O15" s="20"/>
      <c r="P15" s="20"/>
      <c r="Q15" s="20"/>
      <c r="R15" s="20"/>
      <c r="S15" s="20"/>
      <c r="T15" s="20"/>
      <c r="U15" s="20"/>
      <c r="V15" s="20"/>
      <c r="W15" s="20"/>
      <c r="X15" s="20"/>
      <c r="Y15" s="20"/>
      <c r="Z15" s="1"/>
    </row>
    <row r="16">
      <c r="A16" s="1"/>
      <c r="B16" s="7" t="s">
        <v>81</v>
      </c>
      <c r="C16" s="8" t="s">
        <v>14</v>
      </c>
      <c r="D16" s="8" t="s">
        <v>83</v>
      </c>
      <c r="E16" s="8" t="s">
        <v>18</v>
      </c>
      <c r="F16" s="10">
        <f>COUNTA(RBACFunctionality!A3:A1000)</f>
        <v>16</v>
      </c>
      <c r="G16" s="19">
        <f>COUNTIF(RBACFunctionality!I:I, "Pass")</f>
        <v>3</v>
      </c>
      <c r="H16" s="13">
        <f>COUNTIF(RBACFunctionality!I:I, "Fail")</f>
        <v>0</v>
      </c>
      <c r="I16" s="14">
        <f>COUNTIF(RBACFunctionality!I:I, "Not Tested")</f>
        <v>13</v>
      </c>
      <c r="J16" s="15">
        <f>COUNTIF(RBACFunctionality!I:I, "Fixed")</f>
        <v>0</v>
      </c>
      <c r="K16" s="20"/>
      <c r="L16" s="20"/>
      <c r="M16" s="20"/>
      <c r="N16" s="20"/>
      <c r="O16" s="20"/>
      <c r="P16" s="20"/>
      <c r="Q16" s="20"/>
      <c r="R16" s="20"/>
      <c r="S16" s="20"/>
      <c r="T16" s="20"/>
      <c r="U16" s="20"/>
      <c r="V16" s="20"/>
      <c r="W16" s="20"/>
      <c r="X16" s="20"/>
      <c r="Y16" s="20"/>
      <c r="Z16" s="1"/>
    </row>
    <row r="17">
      <c r="A17" s="1"/>
      <c r="B17" s="7" t="s">
        <v>166</v>
      </c>
      <c r="C17" s="8" t="s">
        <v>14</v>
      </c>
      <c r="D17" s="8" t="s">
        <v>171</v>
      </c>
      <c r="E17" s="8" t="s">
        <v>18</v>
      </c>
      <c r="F17" s="10">
        <f>COUNTA(LogAuditFunctionality!A3:A1000)</f>
        <v>35</v>
      </c>
      <c r="G17" s="19">
        <f>COUNTIF(LogAuditFunctionality!I:I, "Pass")</f>
        <v>0</v>
      </c>
      <c r="H17" s="13">
        <f>COUNTIF(LogAuditFunctionality!I:I, "Fail")</f>
        <v>0</v>
      </c>
      <c r="I17" s="14">
        <f>COUNTIF(LogAuditFunctionality!I:I, "Not Tested")</f>
        <v>35</v>
      </c>
      <c r="J17" s="15">
        <f>COUNTIF(LogAuditFunctionality!I:I, "Fixed")</f>
        <v>0</v>
      </c>
      <c r="K17" s="20"/>
      <c r="L17" s="20"/>
      <c r="M17" s="20"/>
      <c r="N17" s="20"/>
      <c r="O17" s="20"/>
      <c r="P17" s="20"/>
      <c r="Q17" s="20"/>
      <c r="R17" s="20"/>
      <c r="S17" s="20"/>
      <c r="T17" s="20"/>
      <c r="U17" s="20"/>
      <c r="V17" s="20"/>
      <c r="W17" s="20"/>
      <c r="X17" s="20"/>
      <c r="Y17" s="20"/>
      <c r="Z17" s="1"/>
    </row>
    <row r="18">
      <c r="A18" s="1"/>
      <c r="B18" s="7" t="s">
        <v>196</v>
      </c>
      <c r="C18" s="8" t="s">
        <v>14</v>
      </c>
      <c r="D18" s="8" t="s">
        <v>200</v>
      </c>
      <c r="E18" s="8" t="s">
        <v>18</v>
      </c>
      <c r="F18" s="10">
        <f>COUNTA(SADFunctionality!A3:A1000)</f>
        <v>1</v>
      </c>
      <c r="G18" s="19" t="str">
        <f>COUNTIF(SADFunctionality!I:I, "Pass")</f>
        <v>#REF!</v>
      </c>
      <c r="H18" s="13" t="str">
        <f>COUNTIF(SADFunctionality!I:I, "Fail")</f>
        <v>#REF!</v>
      </c>
      <c r="I18" s="14" t="str">
        <f>COUNTIF(SADFunctionality!I:I, "Not Tested")</f>
        <v>#REF!</v>
      </c>
      <c r="J18" s="15" t="str">
        <f>COUNTIF(SADFunctionality!I:I, "Fixed")</f>
        <v>#REF!</v>
      </c>
      <c r="K18" s="20"/>
      <c r="L18" s="20"/>
      <c r="M18" s="20"/>
      <c r="N18" s="20"/>
      <c r="O18" s="20"/>
      <c r="P18" s="20"/>
      <c r="Q18" s="20"/>
      <c r="R18" s="20"/>
      <c r="S18" s="20"/>
      <c r="T18" s="20"/>
      <c r="U18" s="20"/>
      <c r="V18" s="20"/>
      <c r="W18" s="20"/>
      <c r="X18" s="20"/>
      <c r="Y18" s="20"/>
      <c r="Z18" s="1"/>
    </row>
    <row r="19">
      <c r="A19" s="1"/>
      <c r="B19" s="7" t="s">
        <v>227</v>
      </c>
      <c r="C19" s="8" t="s">
        <v>14</v>
      </c>
      <c r="D19" s="8" t="s">
        <v>232</v>
      </c>
      <c r="E19" s="8" t="s">
        <v>18</v>
      </c>
      <c r="F19" s="10">
        <f>APIFunctionality!F14</f>
        <v>508</v>
      </c>
      <c r="G19" s="19" t="str">
        <f>APIFunctionality!G14</f>
        <v>#REF!</v>
      </c>
      <c r="H19" s="13" t="str">
        <f>APIFunctionality!H14</f>
        <v>#REF!</v>
      </c>
      <c r="I19" s="14" t="str">
        <f>APIFunctionality!I14</f>
        <v>#REF!</v>
      </c>
      <c r="J19" s="15" t="str">
        <f>APIFunctionality!J14</f>
        <v>#REF!</v>
      </c>
      <c r="K19" s="20"/>
      <c r="L19" s="20"/>
      <c r="M19" s="20"/>
      <c r="N19" s="20"/>
      <c r="O19" s="20"/>
      <c r="P19" s="20"/>
      <c r="Q19" s="20"/>
      <c r="R19" s="20"/>
      <c r="S19" s="20"/>
      <c r="T19" s="20"/>
      <c r="U19" s="20"/>
      <c r="V19" s="20"/>
      <c r="W19" s="20"/>
      <c r="X19" s="20"/>
      <c r="Y19" s="20"/>
      <c r="Z19" s="1"/>
    </row>
    <row r="20">
      <c r="A20" s="1"/>
      <c r="B20" s="21" t="s">
        <v>50</v>
      </c>
      <c r="C20" s="23"/>
      <c r="D20" s="23"/>
      <c r="E20" s="24"/>
      <c r="F20" s="27">
        <f t="shared" ref="F20:J20" si="1">SUM(F11:F19)</f>
        <v>657</v>
      </c>
      <c r="G20" s="57" t="str">
        <f t="shared" si="1"/>
        <v>#REF!</v>
      </c>
      <c r="H20" s="30" t="str">
        <f t="shared" si="1"/>
        <v>#REF!</v>
      </c>
      <c r="I20" s="31" t="str">
        <f t="shared" si="1"/>
        <v>#REF!</v>
      </c>
      <c r="J20" s="32" t="str">
        <f t="shared" si="1"/>
        <v>#REF!</v>
      </c>
      <c r="K20" s="1"/>
      <c r="L20" s="1"/>
      <c r="M20" s="1"/>
      <c r="N20" s="1"/>
      <c r="O20" s="1"/>
      <c r="P20" s="1"/>
      <c r="Q20" s="1"/>
      <c r="R20" s="1"/>
      <c r="S20" s="1"/>
      <c r="T20" s="1"/>
      <c r="U20" s="1"/>
      <c r="V20" s="1"/>
      <c r="W20" s="1"/>
      <c r="X20" s="1"/>
      <c r="Y20" s="1"/>
      <c r="Z20" s="1"/>
    </row>
    <row r="21">
      <c r="A21" s="1"/>
      <c r="B21" s="3"/>
      <c r="C21" s="3"/>
      <c r="D21" s="3"/>
      <c r="E21" s="3"/>
      <c r="F21" s="3"/>
      <c r="G21" s="3"/>
      <c r="H21" s="3"/>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58" t="s">
        <v>292</v>
      </c>
      <c r="D24" s="3"/>
      <c r="E24" s="3"/>
      <c r="F24" s="3"/>
      <c r="G24" s="3"/>
      <c r="H24" s="3"/>
      <c r="I24" s="1"/>
      <c r="J24" s="1"/>
      <c r="K24" s="1"/>
      <c r="L24" s="1"/>
      <c r="M24" s="1"/>
      <c r="N24" s="1"/>
      <c r="O24" s="1"/>
      <c r="P24" s="1"/>
      <c r="Q24" s="1"/>
      <c r="R24" s="1"/>
      <c r="S24" s="1"/>
      <c r="T24" s="1"/>
      <c r="U24" s="1"/>
      <c r="V24" s="1"/>
      <c r="W24" s="1"/>
      <c r="X24" s="1"/>
      <c r="Y24" s="1"/>
      <c r="Z24" s="1"/>
    </row>
    <row r="25">
      <c r="A25" s="1"/>
      <c r="B25" s="1"/>
      <c r="C25" s="1"/>
      <c r="D25" s="3"/>
      <c r="E25" s="3"/>
      <c r="F25" s="3"/>
      <c r="G25" s="3"/>
      <c r="H25" s="3"/>
      <c r="I25" s="1"/>
      <c r="J25" s="1"/>
      <c r="K25" s="1"/>
      <c r="L25" s="1"/>
      <c r="M25" s="1"/>
      <c r="N25" s="1"/>
      <c r="O25" s="1"/>
      <c r="P25" s="1"/>
      <c r="Q25" s="1"/>
      <c r="R25" s="1"/>
      <c r="S25" s="1"/>
      <c r="T25" s="1"/>
      <c r="U25" s="1"/>
      <c r="V25" s="1"/>
      <c r="W25" s="1"/>
      <c r="X25" s="1"/>
      <c r="Y25" s="1"/>
      <c r="Z25" s="1"/>
    </row>
    <row r="26">
      <c r="A26" s="1"/>
      <c r="B26" s="1"/>
      <c r="C26" s="1"/>
      <c r="D26" s="3"/>
      <c r="E26" s="3"/>
      <c r="F26" s="3"/>
      <c r="G26" s="3"/>
      <c r="H26" s="3"/>
      <c r="I26" s="1"/>
      <c r="J26" s="11"/>
      <c r="K26" s="1"/>
      <c r="L26" s="1"/>
      <c r="M26" s="1"/>
      <c r="N26" s="1"/>
      <c r="O26" s="1"/>
      <c r="P26" s="1"/>
      <c r="Q26" s="1"/>
      <c r="R26" s="1"/>
      <c r="S26" s="1"/>
      <c r="T26" s="1"/>
      <c r="U26" s="1"/>
      <c r="V26" s="1"/>
      <c r="W26" s="1"/>
      <c r="X26" s="1"/>
      <c r="Y26" s="1"/>
      <c r="Z26" s="1"/>
    </row>
    <row r="27">
      <c r="A27" s="1"/>
      <c r="B27" s="1"/>
      <c r="C27" s="1"/>
      <c r="D27" s="3"/>
      <c r="E27" s="3"/>
      <c r="F27" s="3"/>
      <c r="H27" s="3"/>
      <c r="I27" s="1"/>
      <c r="J27" s="1"/>
      <c r="K27" s="1"/>
      <c r="L27" s="1"/>
      <c r="M27" s="1"/>
      <c r="N27" s="1"/>
      <c r="O27" s="1"/>
      <c r="P27" s="1"/>
      <c r="Q27" s="1"/>
      <c r="R27" s="1"/>
      <c r="S27" s="1"/>
      <c r="T27" s="1"/>
      <c r="U27" s="1"/>
      <c r="V27" s="1"/>
      <c r="W27" s="1"/>
      <c r="X27" s="1"/>
      <c r="Y27" s="1"/>
      <c r="Z27" s="1"/>
    </row>
    <row r="28">
      <c r="A28" s="1"/>
      <c r="B28" s="1"/>
      <c r="C28" s="1"/>
      <c r="D28" s="3"/>
      <c r="E28" s="3"/>
      <c r="F28" s="3"/>
      <c r="G28" s="3"/>
      <c r="H28" s="3"/>
      <c r="I28" s="1"/>
      <c r="J28" s="1"/>
      <c r="K28" s="1"/>
      <c r="L28" s="1"/>
      <c r="M28" s="1"/>
      <c r="N28" s="1"/>
      <c r="O28" s="1"/>
      <c r="P28" s="1"/>
      <c r="Q28" s="1"/>
      <c r="R28" s="1"/>
      <c r="S28" s="1"/>
      <c r="T28" s="1"/>
      <c r="U28" s="1"/>
      <c r="V28" s="1"/>
      <c r="W28" s="1"/>
      <c r="X28" s="1"/>
      <c r="Y28" s="1"/>
      <c r="Z28" s="1"/>
    </row>
    <row r="29">
      <c r="A29" s="1"/>
      <c r="B29" s="1"/>
      <c r="C29" s="1"/>
      <c r="D29" s="3"/>
      <c r="E29" s="3"/>
      <c r="F29" s="3"/>
      <c r="G29" s="3"/>
      <c r="H29" s="3"/>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0:E20"/>
  </mergeCells>
  <hyperlinks>
    <hyperlink display="(TS-001) Login Functionality" location="LoginFunctionality!A1" ref="B11"/>
    <hyperlink display="(TS-002) Registration Functionality" location="RegistrationFunctionality!A1" ref="B12"/>
    <hyperlink display="(TS-003) Password Management" location="PasswordManagement!A1" ref="B13"/>
    <hyperlink display="(TS-004) Forgot Password" location="ForgotPassword!A1" ref="B14"/>
    <hyperlink display="(TS-005) Session Management" location="null!A1" ref="B15"/>
    <hyperlink display="(TS-006) RBAC Functionality" location="RBACFunctionality!A1" ref="B16"/>
    <hyperlink display="(TS-007) Log &amp; Audit Functionality" location="LogAuditFunctionality!A1" ref="B17"/>
    <hyperlink display="(TS-008) Suspicious Activity Detection Functionality" location="null!A1" ref="B18"/>
    <hyperlink display="(TS-009) API Functionality" location="APIFunctionality!A1" ref="B1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8.5"/>
    <col customWidth="1" min="3" max="3" width="17.88"/>
    <col customWidth="1" min="4" max="4" width="30.63"/>
    <col customWidth="1" min="5" max="5" width="14.0"/>
    <col customWidth="1" min="6" max="6" width="20.0"/>
    <col customWidth="1" min="7" max="7" width="24.63"/>
    <col customWidth="1" min="8" max="8" width="20.25"/>
    <col customWidth="1" min="9" max="9" width="22.38"/>
    <col customWidth="1" min="10" max="10" width="22.25"/>
  </cols>
  <sheetData>
    <row r="2">
      <c r="B2" s="2" t="s">
        <v>0</v>
      </c>
    </row>
    <row r="3">
      <c r="B3" s="4" t="s">
        <v>1</v>
      </c>
      <c r="C3" s="4" t="s">
        <v>2</v>
      </c>
      <c r="D3" s="4" t="s">
        <v>3</v>
      </c>
      <c r="E3" s="4" t="s">
        <v>4</v>
      </c>
      <c r="F3" s="4" t="s">
        <v>6</v>
      </c>
      <c r="G3" s="4" t="s">
        <v>7</v>
      </c>
      <c r="H3" s="4" t="s">
        <v>8</v>
      </c>
      <c r="I3" s="4" t="s">
        <v>10</v>
      </c>
      <c r="J3" s="4" t="s">
        <v>11</v>
      </c>
    </row>
    <row r="4">
      <c r="B4" s="7" t="s">
        <v>12</v>
      </c>
      <c r="C4" s="8" t="s">
        <v>14</v>
      </c>
      <c r="D4" s="9" t="s">
        <v>17</v>
      </c>
      <c r="E4" s="8" t="s">
        <v>18</v>
      </c>
      <c r="F4" s="10">
        <f>AuthAPI!F10</f>
        <v>71</v>
      </c>
      <c r="G4" s="12" t="str">
        <f>AuthAPI!G10</f>
        <v>#REF!</v>
      </c>
      <c r="H4" s="13" t="str">
        <f>AuthAPI!H10</f>
        <v>#REF!</v>
      </c>
      <c r="I4" s="14" t="str">
        <f>AuthAPI!I10</f>
        <v>#REF!</v>
      </c>
      <c r="J4" s="15" t="str">
        <f>AuthAPI!J10</f>
        <v>#REF!</v>
      </c>
    </row>
    <row r="5">
      <c r="B5" s="7" t="s">
        <v>24</v>
      </c>
      <c r="C5" s="8" t="s">
        <v>14</v>
      </c>
      <c r="D5" s="9" t="s">
        <v>25</v>
      </c>
      <c r="E5" s="8" t="s">
        <v>18</v>
      </c>
      <c r="F5" s="10">
        <f>COUNTA(ChecklistAPI!A4:A1004)</f>
        <v>74</v>
      </c>
      <c r="G5" s="12">
        <f>COUNTIF(ChecklistAPI!K:K, "Pass")</f>
        <v>56</v>
      </c>
      <c r="H5" s="13">
        <f>COUNTIF(ChecklistAPI!K:K, "Fail")</f>
        <v>2</v>
      </c>
      <c r="I5" s="14">
        <f>COUNTIF(ChecklistAPI!K:K, "Not Tested")</f>
        <v>11</v>
      </c>
      <c r="J5" s="15">
        <f>COUNTIF(ChecklistAPI!K:K, "Fixed")</f>
        <v>0</v>
      </c>
    </row>
    <row r="6">
      <c r="B6" s="7" t="s">
        <v>30</v>
      </c>
      <c r="C6" s="8" t="s">
        <v>14</v>
      </c>
      <c r="D6" s="9" t="s">
        <v>31</v>
      </c>
      <c r="E6" s="8" t="s">
        <v>18</v>
      </c>
      <c r="F6" s="10">
        <f>COUNTA(DepartmentAPI!A4:A1004)</f>
        <v>88</v>
      </c>
      <c r="G6" s="12">
        <f>COUNTIF(DepartmentAPI!K:K, "Pass")</f>
        <v>62</v>
      </c>
      <c r="H6" s="13">
        <f>COUNTIF(DepartmentAPI!K:K, "Fail")</f>
        <v>0</v>
      </c>
      <c r="I6" s="14">
        <f>COUNTIF(DepartmentAPI!K:K, "Not Tested")</f>
        <v>21</v>
      </c>
      <c r="J6" s="15">
        <f>COUNTIF(DepartmentAPI!K:K, "Fixed")</f>
        <v>0</v>
      </c>
    </row>
    <row r="7">
      <c r="B7" s="7" t="s">
        <v>38</v>
      </c>
      <c r="C7" s="8" t="s">
        <v>14</v>
      </c>
      <c r="D7" s="9" t="s">
        <v>39</v>
      </c>
      <c r="E7" s="8" t="s">
        <v>18</v>
      </c>
      <c r="F7" s="10">
        <f>COUNTA(FileAPI!A4:A1004)</f>
        <v>37</v>
      </c>
      <c r="G7" s="12">
        <f>COUNTIF(FileAPI!K:K, "Pass")</f>
        <v>25</v>
      </c>
      <c r="H7" s="13">
        <f>COUNTIF(FileAPI!K:K, "Fail")</f>
        <v>3</v>
      </c>
      <c r="I7" s="14">
        <f>COUNTIF(FileAPI!K:K, "Not Tested")</f>
        <v>9</v>
      </c>
      <c r="J7" s="15">
        <f>COUNTIF(FileAPI!K:K, "Fixed")</f>
        <v>0</v>
      </c>
    </row>
    <row r="8">
      <c r="B8" s="7" t="s">
        <v>42</v>
      </c>
      <c r="C8" s="8" t="s">
        <v>14</v>
      </c>
      <c r="D8" s="9" t="s">
        <v>43</v>
      </c>
      <c r="E8" s="8" t="s">
        <v>18</v>
      </c>
      <c r="F8" s="10">
        <f>COUNTA(UserAPI!A4:A1004)</f>
        <v>38</v>
      </c>
      <c r="G8" s="12">
        <f>COUNTIF(UserAPI!K:K, "Pass")</f>
        <v>17</v>
      </c>
      <c r="H8" s="13">
        <f>COUNTIF(UserAPI!K:K, "Fail")</f>
        <v>1</v>
      </c>
      <c r="I8" s="14">
        <f>COUNTIF(UserAPI!K:K, "Not Tested")</f>
        <v>20</v>
      </c>
      <c r="J8" s="15">
        <f>COUNTIF(UserAPI!K:K, "Fixed")</f>
        <v>0</v>
      </c>
    </row>
    <row r="9">
      <c r="B9" s="7" t="s">
        <v>48</v>
      </c>
      <c r="C9" s="8" t="s">
        <v>14</v>
      </c>
      <c r="D9" s="9" t="s">
        <v>49</v>
      </c>
      <c r="E9" s="8" t="s">
        <v>18</v>
      </c>
      <c r="F9" s="10">
        <f>COUNTA(UserProfileAPI!A4:A1004)</f>
        <v>121</v>
      </c>
      <c r="G9" s="12">
        <f>COUNTIF(UserProfileAPI!K:K, "Pass")</f>
        <v>102</v>
      </c>
      <c r="H9" s="13">
        <f>COUNTIF(UserProfileAPI!K:K, "Fail")</f>
        <v>2</v>
      </c>
      <c r="I9" s="14">
        <f>COUNTIF(UserProfileAPI!K:K, "Not Tested")</f>
        <v>12</v>
      </c>
      <c r="J9" s="15">
        <f>COUNTIF(UserProfileAPI!K:K, "Fixed")</f>
        <v>0</v>
      </c>
    </row>
    <row r="10">
      <c r="B10" s="7" t="s">
        <v>51</v>
      </c>
      <c r="C10" s="8" t="s">
        <v>14</v>
      </c>
      <c r="D10" s="9" t="s">
        <v>52</v>
      </c>
      <c r="E10" s="8" t="s">
        <v>18</v>
      </c>
      <c r="F10" s="10">
        <f>COUNTA(AdminAPI!A4:A1004)</f>
        <v>33</v>
      </c>
      <c r="G10" s="12">
        <f>COUNTIF(AdminAPI!K:K, "Pass")</f>
        <v>23</v>
      </c>
      <c r="H10" s="13">
        <f>COUNTIF(AdminAPI!K:K, "Fail")</f>
        <v>0</v>
      </c>
      <c r="I10" s="14">
        <f>COUNTIF(AdminAPI!K:K, "Not Tested")</f>
        <v>10</v>
      </c>
      <c r="J10" s="15">
        <f>COUNTIF(AdminAPI!K:K, "Fixed")</f>
        <v>0</v>
      </c>
    </row>
    <row r="11">
      <c r="B11" s="7" t="s">
        <v>56</v>
      </c>
      <c r="C11" s="8" t="s">
        <v>14</v>
      </c>
      <c r="D11" s="9" t="s">
        <v>59</v>
      </c>
      <c r="E11" s="8" t="s">
        <v>18</v>
      </c>
      <c r="F11" s="10">
        <f>COUNTA(EntityTypeAPI!A5:A1004)</f>
        <v>14</v>
      </c>
      <c r="G11" s="12">
        <f>COUNTIF(EntityTypeAPI!K:K, "Pass")</f>
        <v>13</v>
      </c>
      <c r="H11" s="13">
        <f>COUNTIF(EntityTypeAPI!K:K, "Fail")</f>
        <v>0</v>
      </c>
      <c r="I11" s="14">
        <f>COUNTIF(EntityTypeAPI!K:K, "Not Tested")</f>
        <v>2</v>
      </c>
      <c r="J11" s="15">
        <f>COUNTIF(EntityTypeAPI!K:K, "Fixed")</f>
        <v>0</v>
      </c>
    </row>
    <row r="12">
      <c r="B12" s="7" t="s">
        <v>63</v>
      </c>
      <c r="C12" s="8" t="s">
        <v>14</v>
      </c>
      <c r="D12" s="9" t="s">
        <v>65</v>
      </c>
      <c r="E12" s="8" t="s">
        <v>18</v>
      </c>
      <c r="F12" s="10">
        <f>COUNTA(DocumentAPI!A4:A1004)</f>
        <v>31</v>
      </c>
      <c r="G12" s="12">
        <f>COUNTIF(DocumentAPI!K:K, "Pass")</f>
        <v>12</v>
      </c>
      <c r="H12" s="13">
        <f>COUNTIF(DocumentAPI!K:K, "Fail")</f>
        <v>0</v>
      </c>
      <c r="I12" s="14">
        <f>COUNTIF(DocumentAPI!K:K, "Not Tested")</f>
        <v>19</v>
      </c>
      <c r="J12" s="15">
        <f>COUNTIF(DocumentAPI!K:K, "Fixed")</f>
        <v>0</v>
      </c>
    </row>
    <row r="13">
      <c r="B13" s="7" t="s">
        <v>66</v>
      </c>
      <c r="C13" s="8" t="s">
        <v>14</v>
      </c>
      <c r="D13" s="9" t="s">
        <v>67</v>
      </c>
      <c r="E13" s="8" t="s">
        <v>18</v>
      </c>
      <c r="F13" s="10">
        <f>COUNTA(UserChecklistAPI!A4:A1004)</f>
        <v>1</v>
      </c>
      <c r="G13" s="12" t="str">
        <f>COUNTIF(UserChecklistAPI!K:K, "Pass")</f>
        <v>#REF!</v>
      </c>
      <c r="H13" s="13" t="str">
        <f>COUNTIF(UserChecklistAPI!K:K, "Fail")</f>
        <v>#REF!</v>
      </c>
      <c r="I13" s="14" t="str">
        <f>COUNTIF(UserChecklistAPI!K:K, "Not Tested")</f>
        <v>#REF!</v>
      </c>
      <c r="J13" s="15" t="str">
        <f>COUNTIF(UserChecklistAPI!K:K, "Fixed")</f>
        <v>#REF!</v>
      </c>
    </row>
    <row r="14">
      <c r="B14" s="21" t="s">
        <v>50</v>
      </c>
      <c r="C14" s="23"/>
      <c r="D14" s="23"/>
      <c r="E14" s="24"/>
      <c r="F14" s="27">
        <f t="shared" ref="F14:J14" si="1">SUM(F4:F13)</f>
        <v>508</v>
      </c>
      <c r="G14" s="29" t="str">
        <f t="shared" si="1"/>
        <v>#REF!</v>
      </c>
      <c r="H14" s="30" t="str">
        <f t="shared" si="1"/>
        <v>#REF!</v>
      </c>
      <c r="I14" s="31" t="str">
        <f t="shared" si="1"/>
        <v>#REF!</v>
      </c>
      <c r="J14" s="32" t="str">
        <f t="shared" si="1"/>
        <v>#REF!</v>
      </c>
    </row>
  </sheetData>
  <mergeCells count="1">
    <mergeCell ref="B14:E14"/>
  </mergeCells>
  <hyperlinks>
    <hyperlink display="&lt;&lt;&lt;TestScenario" location="TestScenario!A1" ref="B2"/>
    <hyperlink display="(TS-API-001) Auth API Functionality" location="AuthAPI!A1" ref="B4"/>
    <hyperlink display="(TS-API-002) Checklists API Functionality" location="ChecklistAPI!A1" ref="B5"/>
    <hyperlink display="(TS-API-003) Department API Functionality" location="DepartmentAPI!A1" ref="B6"/>
    <hyperlink display="(TS-API-004) File API Functionality" location="FileAPI!A1" ref="B7"/>
    <hyperlink display="(TS-API-005) User API Functionality" location="UserAPI!A1" ref="B8"/>
    <hyperlink display="(TS-API-006) User Profile API Functionality" location="UserProfileAPI!A1" ref="B9"/>
    <hyperlink display="(TS-API-007) Admin API Functionality" location="AdminAPI!A1" ref="B10"/>
    <hyperlink display="(TS-API-008) Entity Type API Functionality" location="EntityTypeAPI!A1" ref="B11"/>
    <hyperlink display="(TS-API-009) Document API Functionality" location="DocumentAPI!A1" ref="B12"/>
    <hyperlink display="(TS-API-010) UserChecklist API Functionality" location="null!A1" ref="B13"/>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30.13"/>
    <col customWidth="1" min="3" max="3" width="17.75"/>
    <col customWidth="1" min="4" max="4" width="34.5"/>
    <col customWidth="1" min="6" max="6" width="19.5"/>
    <col customWidth="1" min="7" max="7" width="19.0"/>
    <col customWidth="1" min="8" max="8" width="20.63"/>
    <col customWidth="1" min="9" max="9" width="26.63"/>
    <col customWidth="1" min="10" max="10" width="21.13"/>
  </cols>
  <sheetData>
    <row r="2">
      <c r="B2" s="2" t="s">
        <v>0</v>
      </c>
      <c r="C2" s="2" t="s">
        <v>13</v>
      </c>
    </row>
    <row r="3">
      <c r="B3" s="4" t="s">
        <v>1</v>
      </c>
      <c r="C3" s="4" t="s">
        <v>2</v>
      </c>
      <c r="D3" s="4" t="s">
        <v>3</v>
      </c>
      <c r="E3" s="4" t="s">
        <v>4</v>
      </c>
      <c r="F3" s="4" t="s">
        <v>6</v>
      </c>
      <c r="G3" s="4" t="s">
        <v>7</v>
      </c>
      <c r="H3" s="4" t="s">
        <v>8</v>
      </c>
      <c r="I3" s="4" t="s">
        <v>10</v>
      </c>
      <c r="J3" s="4" t="s">
        <v>11</v>
      </c>
    </row>
    <row r="4">
      <c r="B4" s="7" t="s">
        <v>20</v>
      </c>
      <c r="C4" s="8" t="s">
        <v>14</v>
      </c>
      <c r="D4" s="9" t="s">
        <v>21</v>
      </c>
      <c r="E4" s="8" t="s">
        <v>18</v>
      </c>
      <c r="F4" s="10">
        <f>COUNTA(LoginAPI!B4:B997)</f>
        <v>12</v>
      </c>
      <c r="G4" s="12">
        <f>COUNTIF(LoginAPI!K:K, "Pass")</f>
        <v>11</v>
      </c>
      <c r="H4" s="13">
        <f>COUNTIF(LoginAPI!K:K, "Fail")</f>
        <v>1</v>
      </c>
      <c r="I4" s="14">
        <f>COUNTIF(LoginAPI!K:K, "Not Tested")</f>
        <v>0</v>
      </c>
      <c r="J4" s="15">
        <f>COUNTIF(LoginAPI!K:K, "Fixed")</f>
        <v>0</v>
      </c>
    </row>
    <row r="5">
      <c r="B5" s="7" t="s">
        <v>28</v>
      </c>
      <c r="C5" s="8" t="s">
        <v>14</v>
      </c>
      <c r="D5" s="9" t="s">
        <v>29</v>
      </c>
      <c r="E5" s="8" t="s">
        <v>18</v>
      </c>
      <c r="F5" s="10">
        <f>COUNTA(LogoutAPI!B4:B997)</f>
        <v>7</v>
      </c>
      <c r="G5" s="12">
        <f>COUNTIF(LogoutAPI!K:K, "Pass")</f>
        <v>7</v>
      </c>
      <c r="H5" s="13">
        <f>COUNTIF(LogoutAPI!K:K, "Fail")</f>
        <v>0</v>
      </c>
      <c r="I5" s="14">
        <f>COUNTIF(LogoutAPI!K:K, "Not Tested")</f>
        <v>0</v>
      </c>
      <c r="J5" s="15">
        <f>COUNTIF(LogoutAPI!K:K, "Fixed")</f>
        <v>0</v>
      </c>
    </row>
    <row r="6">
      <c r="B6" s="7" t="s">
        <v>32</v>
      </c>
      <c r="C6" s="8" t="s">
        <v>14</v>
      </c>
      <c r="D6" s="9" t="s">
        <v>33</v>
      </c>
      <c r="E6" s="8" t="s">
        <v>18</v>
      </c>
      <c r="F6" s="10">
        <f>COUNTA(ForgotPasswordAPI!B4:B997)</f>
        <v>15</v>
      </c>
      <c r="G6" s="12">
        <f>COUNTIF(ForgotPasswordAPI!K:K, "Pass")</f>
        <v>13</v>
      </c>
      <c r="H6" s="13">
        <f>COUNTIF(ForgotPasswordAPI!K:K, "Fail")</f>
        <v>0</v>
      </c>
      <c r="I6" s="14">
        <f>COUNTIF(ForgotPasswordAPI!K:K, "Not Tested")</f>
        <v>2</v>
      </c>
      <c r="J6" s="15">
        <f>COUNTIF(ForgotPasswordAPI!K:K, "Fixed")</f>
        <v>0</v>
      </c>
    </row>
    <row r="7">
      <c r="B7" s="7" t="s">
        <v>36</v>
      </c>
      <c r="C7" s="8" t="s">
        <v>14</v>
      </c>
      <c r="D7" s="9" t="s">
        <v>37</v>
      </c>
      <c r="E7" s="8" t="s">
        <v>18</v>
      </c>
      <c r="F7" s="10">
        <f>COUNTA(TokenAPI!B4:B997)</f>
        <v>10</v>
      </c>
      <c r="G7" s="12">
        <f>COUNTIF(TokenAPI!K:K, "Pass")</f>
        <v>9</v>
      </c>
      <c r="H7" s="13">
        <f>COUNTIF(TokenAPI!K:K, "Fail")</f>
        <v>0</v>
      </c>
      <c r="I7" s="14">
        <f>COUNTIF(TokenAPI!K:K, "Not Tested")</f>
        <v>1</v>
      </c>
      <c r="J7" s="15">
        <f>COUNTIF(TokenAPI!K:K, "Fixed")</f>
        <v>0</v>
      </c>
    </row>
    <row r="8">
      <c r="B8" s="7" t="s">
        <v>40</v>
      </c>
      <c r="C8" s="8" t="s">
        <v>14</v>
      </c>
      <c r="D8" s="9" t="s">
        <v>41</v>
      </c>
      <c r="E8" s="8" t="s">
        <v>18</v>
      </c>
      <c r="F8" s="10">
        <f>COUNTA(ResetPasswordAPI!B4:B997)</f>
        <v>1</v>
      </c>
      <c r="G8" s="12" t="str">
        <f>COUNTIF(ResetPasswordAPI!L:L, "Pass")</f>
        <v>#REF!</v>
      </c>
      <c r="H8" s="13" t="str">
        <f>COUNTIF(ResetPasswordAPI!L:L, "Fail")</f>
        <v>#REF!</v>
      </c>
      <c r="I8" s="14" t="str">
        <f>COUNTIF(ResetPasswordAPI!L:L, "Not Tested")</f>
        <v>#REF!</v>
      </c>
      <c r="J8" s="15" t="str">
        <f>COUNTIF(ResetPasswordAPI!L:L, "Fixed")</f>
        <v>#REF!</v>
      </c>
    </row>
    <row r="9">
      <c r="B9" s="7" t="s">
        <v>46</v>
      </c>
      <c r="C9" s="8" t="s">
        <v>14</v>
      </c>
      <c r="D9" s="9" t="s">
        <v>47</v>
      </c>
      <c r="E9" s="8" t="s">
        <v>18</v>
      </c>
      <c r="F9" s="10">
        <f>COUNTA(SetPasswordAPI!B4:B997)</f>
        <v>26</v>
      </c>
      <c r="G9" s="12">
        <f>COUNTIF(SetPasswordAPI!K:K, "Pass")</f>
        <v>13</v>
      </c>
      <c r="H9" s="13">
        <f>COUNTIF(SetPasswordAPI!K:K, "Fail")</f>
        <v>0</v>
      </c>
      <c r="I9" s="14">
        <f>COUNTIF(SetPasswordAPI!K:K, "Not Tested")</f>
        <v>13</v>
      </c>
      <c r="J9" s="15">
        <f>COUNTIF(SetPasswordAPI!K:K, "Fixed")</f>
        <v>0</v>
      </c>
    </row>
    <row r="10">
      <c r="B10" s="21" t="s">
        <v>50</v>
      </c>
      <c r="C10" s="23"/>
      <c r="D10" s="23"/>
      <c r="E10" s="24"/>
      <c r="F10" s="27">
        <f t="shared" ref="F10:J10" si="1">SUM(F4:F9)</f>
        <v>71</v>
      </c>
      <c r="G10" s="29" t="str">
        <f t="shared" si="1"/>
        <v>#REF!</v>
      </c>
      <c r="H10" s="30" t="str">
        <f t="shared" si="1"/>
        <v>#REF!</v>
      </c>
      <c r="I10" s="31" t="str">
        <f t="shared" si="1"/>
        <v>#REF!</v>
      </c>
      <c r="J10" s="32" t="str">
        <f t="shared" si="1"/>
        <v>#REF!</v>
      </c>
    </row>
  </sheetData>
  <mergeCells count="1">
    <mergeCell ref="B10:E10"/>
  </mergeCells>
  <hyperlinks>
    <hyperlink display="&lt;&lt;&lt;TestScenario" location="TestScenario!A1" ref="B2"/>
    <hyperlink display="&lt;&lt;&lt;APITestScenario" location="APIFunctionality!A1" ref="C2"/>
    <hyperlink display="(TS-AUTH-API-001) Login API Functionality" location="LoginAPI!A1" ref="B4"/>
    <hyperlink display="(TS-AUTH-API-002) Logout API Functionality" location="LogoutAPI!A1" ref="B5"/>
    <hyperlink display="(TS-AUTH-API-003) Forgot Password API Functionality" location="ForgotPasswordAPI!A1" ref="B6"/>
    <hyperlink display="(TS-AUTH-API-004) Token API Functionality" location="TokenAPI!A1" ref="B7"/>
    <hyperlink display="(TS-AUTH-API-005) Reset Password API Functionality" location="null!A1" ref="B8"/>
    <hyperlink display="(TS-AUTH-API-006) Set Password API Functionality" location="SetPasswordAPI!A1" ref="B9"/>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23.88"/>
    <col customWidth="1" min="3" max="3" width="30.0"/>
    <col customWidth="1" min="4" max="4" width="16.75"/>
    <col customWidth="1" min="5" max="5" width="30.88"/>
    <col customWidth="1" min="6" max="6" width="35.25"/>
    <col customWidth="1" min="7" max="7" width="32.63"/>
    <col customWidth="1" min="8" max="8" width="34.13"/>
    <col customWidth="1" min="9" max="9" width="36.63"/>
    <col customWidth="1" min="10" max="10" width="33.5"/>
    <col customWidth="1" min="11" max="11" width="20.38"/>
    <col customWidth="1" min="12" max="12" width="14.5"/>
    <col customWidth="1" min="13" max="13" width="15.75"/>
    <col customWidth="1" min="14" max="14" width="19.5"/>
    <col customWidth="1" min="15" max="15" width="20.75"/>
  </cols>
  <sheetData>
    <row r="1">
      <c r="A1" s="22" t="s">
        <v>0</v>
      </c>
      <c r="B1" s="22" t="s">
        <v>13</v>
      </c>
      <c r="C1" s="25"/>
      <c r="D1" s="26"/>
      <c r="E1" s="28"/>
      <c r="F1" s="28"/>
      <c r="G1" s="28"/>
      <c r="H1" s="28"/>
      <c r="I1" s="28"/>
      <c r="J1" s="28"/>
      <c r="K1" s="28"/>
      <c r="L1" s="28"/>
      <c r="M1" s="28"/>
      <c r="N1" s="28"/>
      <c r="O1" s="28"/>
    </row>
    <row r="2">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c r="A3" s="35"/>
      <c r="B3" s="36" t="s">
        <v>79</v>
      </c>
      <c r="C3" s="23"/>
      <c r="D3" s="23"/>
      <c r="E3" s="23"/>
      <c r="F3" s="23"/>
      <c r="G3" s="23"/>
      <c r="H3" s="23"/>
      <c r="I3" s="23"/>
      <c r="J3" s="23"/>
      <c r="K3" s="24"/>
      <c r="L3" s="37"/>
      <c r="M3" s="23"/>
      <c r="N3" s="23"/>
      <c r="O3" s="24"/>
    </row>
    <row r="4">
      <c r="A4" s="38" t="s">
        <v>80</v>
      </c>
      <c r="B4" s="38" t="s">
        <v>56</v>
      </c>
      <c r="C4" s="39" t="s">
        <v>82</v>
      </c>
      <c r="D4" s="8" t="s">
        <v>84</v>
      </c>
      <c r="E4" s="8" t="s">
        <v>85</v>
      </c>
      <c r="F4" s="39" t="s">
        <v>86</v>
      </c>
      <c r="G4" s="39" t="s">
        <v>87</v>
      </c>
      <c r="H4" s="39" t="s">
        <v>88</v>
      </c>
      <c r="I4" s="39" t="s">
        <v>89</v>
      </c>
      <c r="J4" s="39" t="s">
        <v>90</v>
      </c>
      <c r="K4" s="38" t="s">
        <v>91</v>
      </c>
      <c r="L4" s="8" t="s">
        <v>92</v>
      </c>
      <c r="M4" s="8" t="s">
        <v>92</v>
      </c>
      <c r="N4" s="41"/>
      <c r="O4" s="39" t="s">
        <v>93</v>
      </c>
    </row>
    <row r="5">
      <c r="A5" s="38" t="s">
        <v>94</v>
      </c>
      <c r="B5" s="38" t="s">
        <v>56</v>
      </c>
      <c r="C5" s="39" t="s">
        <v>95</v>
      </c>
      <c r="D5" s="8" t="s">
        <v>84</v>
      </c>
      <c r="E5" s="8" t="s">
        <v>85</v>
      </c>
      <c r="F5" s="39" t="s">
        <v>96</v>
      </c>
      <c r="G5" s="39" t="s">
        <v>87</v>
      </c>
      <c r="H5" s="39" t="s">
        <v>97</v>
      </c>
      <c r="I5" s="39" t="s">
        <v>98</v>
      </c>
      <c r="J5" s="39" t="s">
        <v>99</v>
      </c>
      <c r="K5" s="38" t="s">
        <v>91</v>
      </c>
      <c r="L5" s="8" t="s">
        <v>92</v>
      </c>
      <c r="M5" s="8" t="s">
        <v>92</v>
      </c>
      <c r="N5" s="42"/>
      <c r="O5" s="39" t="s">
        <v>100</v>
      </c>
    </row>
    <row r="6">
      <c r="A6" s="38" t="s">
        <v>101</v>
      </c>
      <c r="B6" s="38" t="s">
        <v>56</v>
      </c>
      <c r="C6" s="39" t="s">
        <v>102</v>
      </c>
      <c r="D6" s="8" t="s">
        <v>84</v>
      </c>
      <c r="E6" s="8" t="s">
        <v>85</v>
      </c>
      <c r="F6" s="39" t="s">
        <v>96</v>
      </c>
      <c r="G6" s="39" t="s">
        <v>87</v>
      </c>
      <c r="H6" s="39" t="s">
        <v>97</v>
      </c>
      <c r="I6" s="39" t="s">
        <v>104</v>
      </c>
      <c r="J6" s="39" t="s">
        <v>99</v>
      </c>
      <c r="K6" s="38" t="s">
        <v>91</v>
      </c>
      <c r="L6" s="8" t="s">
        <v>105</v>
      </c>
      <c r="M6" s="8" t="s">
        <v>92</v>
      </c>
      <c r="N6" s="42"/>
      <c r="O6" s="39" t="s">
        <v>107</v>
      </c>
    </row>
    <row r="7">
      <c r="A7" s="38" t="s">
        <v>108</v>
      </c>
      <c r="B7" s="38" t="s">
        <v>56</v>
      </c>
      <c r="C7" s="39" t="s">
        <v>109</v>
      </c>
      <c r="D7" s="8" t="s">
        <v>84</v>
      </c>
      <c r="E7" s="8" t="s">
        <v>85</v>
      </c>
      <c r="F7" s="39" t="s">
        <v>96</v>
      </c>
      <c r="G7" s="39" t="s">
        <v>87</v>
      </c>
      <c r="H7" s="39" t="s">
        <v>97</v>
      </c>
      <c r="I7" s="39" t="s">
        <v>111</v>
      </c>
      <c r="J7" s="39" t="s">
        <v>99</v>
      </c>
      <c r="K7" s="38" t="s">
        <v>91</v>
      </c>
      <c r="L7" s="8" t="s">
        <v>105</v>
      </c>
      <c r="M7" s="8" t="s">
        <v>105</v>
      </c>
      <c r="N7" s="42"/>
      <c r="O7" s="39" t="s">
        <v>112</v>
      </c>
    </row>
    <row r="8">
      <c r="A8" s="38" t="s">
        <v>113</v>
      </c>
      <c r="B8" s="38" t="s">
        <v>56</v>
      </c>
      <c r="C8" s="39" t="s">
        <v>114</v>
      </c>
      <c r="D8" s="8" t="s">
        <v>84</v>
      </c>
      <c r="E8" s="8" t="s">
        <v>85</v>
      </c>
      <c r="F8" s="39" t="s">
        <v>96</v>
      </c>
      <c r="G8" s="39" t="s">
        <v>87</v>
      </c>
      <c r="H8" s="39" t="s">
        <v>97</v>
      </c>
      <c r="I8" s="39" t="s">
        <v>118</v>
      </c>
      <c r="J8" s="39" t="s">
        <v>99</v>
      </c>
      <c r="K8" s="38" t="s">
        <v>91</v>
      </c>
      <c r="L8" s="8" t="s">
        <v>121</v>
      </c>
      <c r="M8" s="8" t="s">
        <v>121</v>
      </c>
      <c r="N8" s="42"/>
      <c r="O8" s="39" t="s">
        <v>123</v>
      </c>
    </row>
    <row r="9">
      <c r="A9" s="38" t="s">
        <v>124</v>
      </c>
      <c r="B9" s="38" t="s">
        <v>56</v>
      </c>
      <c r="C9" s="39" t="s">
        <v>125</v>
      </c>
      <c r="D9" s="8" t="s">
        <v>84</v>
      </c>
      <c r="E9" s="8" t="s">
        <v>85</v>
      </c>
      <c r="F9" s="39" t="s">
        <v>96</v>
      </c>
      <c r="G9" s="39" t="s">
        <v>87</v>
      </c>
      <c r="H9" s="39" t="s">
        <v>97</v>
      </c>
      <c r="I9" s="39" t="s">
        <v>126</v>
      </c>
      <c r="J9" s="39" t="s">
        <v>99</v>
      </c>
      <c r="K9" s="38" t="s">
        <v>91</v>
      </c>
      <c r="L9" s="8" t="s">
        <v>121</v>
      </c>
      <c r="M9" s="8" t="s">
        <v>121</v>
      </c>
      <c r="N9" s="42"/>
      <c r="O9" s="39" t="s">
        <v>128</v>
      </c>
    </row>
    <row r="10">
      <c r="A10" s="38" t="s">
        <v>129</v>
      </c>
      <c r="B10" s="38" t="s">
        <v>56</v>
      </c>
      <c r="C10" s="39" t="s">
        <v>131</v>
      </c>
      <c r="D10" s="8" t="s">
        <v>84</v>
      </c>
      <c r="E10" s="8" t="s">
        <v>85</v>
      </c>
      <c r="F10" s="39" t="s">
        <v>96</v>
      </c>
      <c r="G10" s="39" t="s">
        <v>132</v>
      </c>
      <c r="H10" s="39" t="s">
        <v>97</v>
      </c>
      <c r="I10" s="39" t="s">
        <v>133</v>
      </c>
      <c r="J10" s="39" t="s">
        <v>99</v>
      </c>
      <c r="K10" s="38" t="s">
        <v>91</v>
      </c>
      <c r="L10" s="8" t="s">
        <v>105</v>
      </c>
      <c r="M10" s="8" t="s">
        <v>105</v>
      </c>
      <c r="N10" s="42"/>
      <c r="O10" s="39" t="s">
        <v>136</v>
      </c>
    </row>
    <row r="11">
      <c r="A11" s="38" t="s">
        <v>137</v>
      </c>
      <c r="B11" s="38" t="s">
        <v>56</v>
      </c>
      <c r="C11" s="39" t="s">
        <v>138</v>
      </c>
      <c r="D11" s="8" t="s">
        <v>84</v>
      </c>
      <c r="E11" s="8" t="s">
        <v>85</v>
      </c>
      <c r="F11" s="39" t="s">
        <v>140</v>
      </c>
      <c r="G11" s="39"/>
      <c r="H11" s="39" t="s">
        <v>97</v>
      </c>
      <c r="I11" s="39" t="s">
        <v>141</v>
      </c>
      <c r="J11" s="39" t="s">
        <v>142</v>
      </c>
      <c r="K11" s="38" t="s">
        <v>91</v>
      </c>
      <c r="L11" s="8" t="s">
        <v>92</v>
      </c>
      <c r="M11" s="8" t="s">
        <v>92</v>
      </c>
      <c r="N11" s="42"/>
      <c r="O11" s="39" t="s">
        <v>145</v>
      </c>
    </row>
    <row r="12">
      <c r="A12" s="38" t="s">
        <v>146</v>
      </c>
      <c r="B12" s="38" t="s">
        <v>56</v>
      </c>
      <c r="C12" s="39" t="s">
        <v>147</v>
      </c>
      <c r="D12" s="8" t="s">
        <v>84</v>
      </c>
      <c r="E12" s="8" t="s">
        <v>85</v>
      </c>
      <c r="F12" s="39" t="s">
        <v>149</v>
      </c>
      <c r="G12" s="39"/>
      <c r="H12" s="39" t="s">
        <v>97</v>
      </c>
      <c r="I12" s="39" t="s">
        <v>141</v>
      </c>
      <c r="J12" s="39" t="s">
        <v>99</v>
      </c>
      <c r="K12" s="38" t="s">
        <v>91</v>
      </c>
      <c r="L12" s="8" t="s">
        <v>92</v>
      </c>
      <c r="M12" s="8" t="s">
        <v>92</v>
      </c>
      <c r="N12" s="42"/>
      <c r="O12" s="39" t="s">
        <v>151</v>
      </c>
    </row>
    <row r="13">
      <c r="A13" s="38" t="s">
        <v>152</v>
      </c>
      <c r="B13" s="38" t="s">
        <v>56</v>
      </c>
      <c r="C13" s="39" t="s">
        <v>153</v>
      </c>
      <c r="D13" s="8" t="s">
        <v>84</v>
      </c>
      <c r="E13" s="8" t="s">
        <v>85</v>
      </c>
      <c r="F13" s="39" t="s">
        <v>154</v>
      </c>
      <c r="G13" s="39"/>
      <c r="H13" s="39" t="s">
        <v>97</v>
      </c>
      <c r="I13" s="39" t="s">
        <v>141</v>
      </c>
      <c r="J13" s="39" t="s">
        <v>99</v>
      </c>
      <c r="K13" s="38" t="s">
        <v>91</v>
      </c>
      <c r="L13" s="8" t="s">
        <v>92</v>
      </c>
      <c r="M13" s="8" t="s">
        <v>92</v>
      </c>
      <c r="N13" s="42"/>
      <c r="O13" s="39" t="s">
        <v>161</v>
      </c>
    </row>
    <row r="14">
      <c r="A14" s="38" t="s">
        <v>162</v>
      </c>
      <c r="B14" s="38" t="s">
        <v>56</v>
      </c>
      <c r="C14" s="39" t="s">
        <v>164</v>
      </c>
      <c r="D14" s="8" t="s">
        <v>84</v>
      </c>
      <c r="E14" s="8" t="s">
        <v>85</v>
      </c>
      <c r="F14" s="39" t="s">
        <v>167</v>
      </c>
      <c r="G14" s="39" t="s">
        <v>168</v>
      </c>
      <c r="H14" s="39" t="s">
        <v>97</v>
      </c>
      <c r="I14" s="39" t="s">
        <v>169</v>
      </c>
      <c r="J14" s="39"/>
      <c r="K14" s="38" t="s">
        <v>172</v>
      </c>
      <c r="L14" s="8" t="s">
        <v>92</v>
      </c>
      <c r="M14" s="8" t="s">
        <v>92</v>
      </c>
      <c r="N14" s="42"/>
      <c r="O14" s="39" t="s">
        <v>174</v>
      </c>
    </row>
    <row r="15">
      <c r="A15" s="38" t="s">
        <v>176</v>
      </c>
      <c r="B15" s="38" t="s">
        <v>56</v>
      </c>
      <c r="C15" s="39" t="s">
        <v>179</v>
      </c>
      <c r="D15" s="8" t="s">
        <v>84</v>
      </c>
      <c r="E15" s="8" t="s">
        <v>85</v>
      </c>
      <c r="F15" s="39" t="s">
        <v>96</v>
      </c>
      <c r="G15" s="39" t="s">
        <v>182</v>
      </c>
      <c r="H15" s="39" t="s">
        <v>97</v>
      </c>
      <c r="I15" s="39" t="s">
        <v>183</v>
      </c>
      <c r="J15" s="39" t="s">
        <v>144</v>
      </c>
      <c r="K15" s="38" t="s">
        <v>91</v>
      </c>
      <c r="L15" s="8" t="s">
        <v>121</v>
      </c>
      <c r="M15" s="8" t="s">
        <v>121</v>
      </c>
      <c r="N15" s="42"/>
      <c r="O15" s="39" t="s">
        <v>240</v>
      </c>
    </row>
    <row r="16">
      <c r="A16" s="38" t="s">
        <v>241</v>
      </c>
      <c r="B16" s="38" t="s">
        <v>56</v>
      </c>
      <c r="C16" s="39" t="s">
        <v>243</v>
      </c>
      <c r="D16" s="8" t="s">
        <v>84</v>
      </c>
      <c r="E16" s="8" t="s">
        <v>85</v>
      </c>
      <c r="F16" s="39" t="s">
        <v>96</v>
      </c>
      <c r="G16" s="39" t="s">
        <v>245</v>
      </c>
      <c r="H16" s="39" t="s">
        <v>246</v>
      </c>
      <c r="I16" s="39" t="s">
        <v>247</v>
      </c>
      <c r="J16" s="39"/>
      <c r="K16" s="38" t="s">
        <v>172</v>
      </c>
      <c r="L16" s="8" t="s">
        <v>105</v>
      </c>
      <c r="M16" s="8" t="s">
        <v>105</v>
      </c>
      <c r="N16" s="42"/>
      <c r="O16" s="39" t="s">
        <v>254</v>
      </c>
    </row>
    <row r="17">
      <c r="A17" s="38" t="s">
        <v>257</v>
      </c>
      <c r="B17" s="38" t="s">
        <v>56</v>
      </c>
      <c r="C17" s="39" t="s">
        <v>260</v>
      </c>
      <c r="D17" s="8" t="s">
        <v>84</v>
      </c>
      <c r="E17" s="8" t="s">
        <v>85</v>
      </c>
      <c r="F17" s="39" t="s">
        <v>96</v>
      </c>
      <c r="G17" s="39" t="s">
        <v>261</v>
      </c>
      <c r="H17" s="39" t="s">
        <v>97</v>
      </c>
      <c r="I17" s="39" t="s">
        <v>262</v>
      </c>
      <c r="J17" s="39" t="s">
        <v>144</v>
      </c>
      <c r="K17" s="38" t="s">
        <v>91</v>
      </c>
      <c r="L17" s="8" t="s">
        <v>92</v>
      </c>
      <c r="M17" s="8" t="s">
        <v>92</v>
      </c>
      <c r="N17" s="42"/>
      <c r="O17" s="39" t="s">
        <v>268</v>
      </c>
    </row>
    <row r="18">
      <c r="A18" s="38" t="s">
        <v>271</v>
      </c>
      <c r="B18" s="38" t="s">
        <v>56</v>
      </c>
      <c r="C18" s="39" t="s">
        <v>274</v>
      </c>
      <c r="D18" s="8" t="s">
        <v>84</v>
      </c>
      <c r="E18" s="8" t="s">
        <v>85</v>
      </c>
      <c r="F18" s="39" t="s">
        <v>96</v>
      </c>
      <c r="G18" s="39" t="s">
        <v>276</v>
      </c>
      <c r="H18" s="39" t="s">
        <v>97</v>
      </c>
      <c r="I18" s="39" t="s">
        <v>277</v>
      </c>
      <c r="J18" s="39" t="s">
        <v>144</v>
      </c>
      <c r="K18" s="38" t="s">
        <v>91</v>
      </c>
      <c r="L18" s="8" t="s">
        <v>105</v>
      </c>
      <c r="M18" s="8" t="s">
        <v>105</v>
      </c>
      <c r="N18" s="42"/>
      <c r="O18" s="39" t="s">
        <v>281</v>
      </c>
    </row>
  </sheetData>
  <mergeCells count="2">
    <mergeCell ref="B3:K3"/>
    <mergeCell ref="L3:O3"/>
  </mergeCells>
  <dataValidations>
    <dataValidation type="list" allowBlank="1" showErrorMessage="1" sqref="D4:D18">
      <formula1>"GET,POST,PATCH,DELETE,PUT"</formula1>
    </dataValidation>
    <dataValidation type="list" allowBlank="1" showErrorMessage="1" sqref="L4:M18">
      <formula1>"High,Medium,Low,N/A,Critical"</formula1>
    </dataValidation>
    <dataValidation type="list" allowBlank="1" showErrorMessage="1" sqref="K4:K18">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1.63"/>
    <col customWidth="1" min="3" max="3" width="29.75"/>
    <col customWidth="1" min="4" max="4" width="17.25"/>
    <col customWidth="1" min="5" max="5" width="29.75"/>
    <col customWidth="1" min="6" max="6" width="26.5"/>
    <col customWidth="1" min="7" max="7" width="31.25"/>
    <col customWidth="1" min="8" max="8" width="29.13"/>
    <col customWidth="1" min="9" max="9" width="29.75"/>
    <col customWidth="1" min="10" max="10" width="28.88"/>
    <col customWidth="1" min="11" max="11" width="19.0"/>
    <col customWidth="1" min="12" max="12" width="16.25"/>
    <col customWidth="1" min="13" max="13" width="15.13"/>
    <col customWidth="1" min="14" max="14" width="20.75"/>
    <col customWidth="1" min="15" max="15" width="25.38"/>
  </cols>
  <sheetData>
    <row r="1">
      <c r="A1" s="22" t="s">
        <v>0</v>
      </c>
      <c r="B1" s="22" t="s">
        <v>13</v>
      </c>
      <c r="C1" s="25"/>
      <c r="D1" s="26"/>
      <c r="E1" s="28"/>
      <c r="F1" s="28"/>
      <c r="G1" s="28"/>
      <c r="H1" s="28"/>
      <c r="I1" s="28"/>
      <c r="J1" s="28"/>
      <c r="K1" s="28"/>
      <c r="L1" s="28"/>
      <c r="M1" s="28"/>
      <c r="N1" s="28"/>
      <c r="O1" s="28"/>
      <c r="P1" s="40"/>
      <c r="Q1" s="40"/>
      <c r="R1" s="40"/>
      <c r="S1" s="40"/>
      <c r="T1" s="40"/>
      <c r="U1" s="40"/>
      <c r="V1" s="40"/>
      <c r="W1" s="40"/>
      <c r="X1" s="40"/>
      <c r="Y1" s="40"/>
      <c r="Z1" s="40"/>
    </row>
    <row r="2">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c r="P2" s="40"/>
      <c r="Q2" s="40"/>
      <c r="R2" s="40"/>
      <c r="S2" s="40"/>
      <c r="T2" s="40"/>
      <c r="U2" s="40"/>
      <c r="V2" s="40"/>
      <c r="W2" s="40"/>
      <c r="X2" s="40"/>
      <c r="Y2" s="40"/>
      <c r="Z2" s="40"/>
    </row>
    <row r="3">
      <c r="A3" s="43"/>
      <c r="B3" s="44" t="s">
        <v>103</v>
      </c>
      <c r="C3" s="23"/>
      <c r="D3" s="23"/>
      <c r="E3" s="23"/>
      <c r="F3" s="23"/>
      <c r="G3" s="23"/>
      <c r="H3" s="23"/>
      <c r="I3" s="23"/>
      <c r="J3" s="24"/>
      <c r="K3" s="44"/>
      <c r="L3" s="23"/>
      <c r="M3" s="23"/>
      <c r="N3" s="23"/>
      <c r="O3" s="24"/>
      <c r="P3" s="40"/>
      <c r="Q3" s="40"/>
      <c r="R3" s="40"/>
      <c r="S3" s="40"/>
      <c r="T3" s="40"/>
      <c r="U3" s="40"/>
      <c r="V3" s="40"/>
      <c r="W3" s="40"/>
      <c r="X3" s="40"/>
      <c r="Y3" s="40"/>
      <c r="Z3" s="40"/>
    </row>
    <row r="4">
      <c r="A4" s="38" t="s">
        <v>106</v>
      </c>
      <c r="B4" s="38" t="s">
        <v>63</v>
      </c>
      <c r="C4" s="45" t="s">
        <v>110</v>
      </c>
      <c r="D4" s="38" t="s">
        <v>84</v>
      </c>
      <c r="E4" s="38" t="s">
        <v>115</v>
      </c>
      <c r="F4" s="45" t="s">
        <v>116</v>
      </c>
      <c r="G4" s="45" t="s">
        <v>117</v>
      </c>
      <c r="H4" s="45" t="s">
        <v>119</v>
      </c>
      <c r="I4" s="45" t="s">
        <v>120</v>
      </c>
      <c r="J4" s="46" t="s">
        <v>122</v>
      </c>
      <c r="K4" s="38" t="s">
        <v>91</v>
      </c>
      <c r="L4" s="38" t="s">
        <v>127</v>
      </c>
      <c r="M4" s="38" t="s">
        <v>127</v>
      </c>
      <c r="N4" s="47"/>
      <c r="O4" s="45" t="s">
        <v>130</v>
      </c>
      <c r="P4" s="40"/>
      <c r="Q4" s="40"/>
      <c r="R4" s="40"/>
      <c r="S4" s="40"/>
      <c r="T4" s="40"/>
      <c r="U4" s="40"/>
      <c r="V4" s="40"/>
      <c r="W4" s="40"/>
      <c r="X4" s="40"/>
      <c r="Y4" s="40"/>
      <c r="Z4" s="40"/>
    </row>
    <row r="5">
      <c r="A5" s="38" t="s">
        <v>134</v>
      </c>
      <c r="B5" s="38" t="s">
        <v>63</v>
      </c>
      <c r="C5" s="45" t="s">
        <v>135</v>
      </c>
      <c r="D5" s="38" t="s">
        <v>84</v>
      </c>
      <c r="E5" s="38" t="s">
        <v>115</v>
      </c>
      <c r="F5" s="45" t="s">
        <v>116</v>
      </c>
      <c r="G5" s="45" t="s">
        <v>117</v>
      </c>
      <c r="H5" s="45" t="s">
        <v>119</v>
      </c>
      <c r="I5" s="45" t="s">
        <v>143</v>
      </c>
      <c r="J5" s="50" t="s">
        <v>144</v>
      </c>
      <c r="K5" s="38" t="s">
        <v>91</v>
      </c>
      <c r="L5" s="38" t="s">
        <v>127</v>
      </c>
      <c r="M5" s="38" t="s">
        <v>127</v>
      </c>
      <c r="N5" s="47"/>
      <c r="O5" s="45" t="s">
        <v>130</v>
      </c>
      <c r="P5" s="40"/>
      <c r="Q5" s="40"/>
      <c r="R5" s="40"/>
      <c r="S5" s="40"/>
      <c r="T5" s="40"/>
      <c r="U5" s="40"/>
      <c r="V5" s="40"/>
      <c r="W5" s="40"/>
      <c r="X5" s="40"/>
      <c r="Y5" s="40"/>
      <c r="Z5" s="40"/>
    </row>
    <row r="6">
      <c r="A6" s="38" t="s">
        <v>156</v>
      </c>
      <c r="B6" s="38" t="s">
        <v>63</v>
      </c>
      <c r="C6" s="45" t="s">
        <v>158</v>
      </c>
      <c r="D6" s="38" t="s">
        <v>84</v>
      </c>
      <c r="E6" s="38" t="s">
        <v>115</v>
      </c>
      <c r="F6" s="45" t="s">
        <v>116</v>
      </c>
      <c r="G6" s="45" t="s">
        <v>163</v>
      </c>
      <c r="H6" s="45" t="s">
        <v>119</v>
      </c>
      <c r="I6" s="45" t="s">
        <v>165</v>
      </c>
      <c r="J6" s="50" t="s">
        <v>144</v>
      </c>
      <c r="K6" s="38" t="s">
        <v>91</v>
      </c>
      <c r="L6" s="38" t="s">
        <v>127</v>
      </c>
      <c r="M6" s="38" t="s">
        <v>127</v>
      </c>
      <c r="N6" s="47"/>
      <c r="O6" s="45"/>
      <c r="P6" s="40"/>
      <c r="Q6" s="40"/>
      <c r="R6" s="40"/>
      <c r="S6" s="40"/>
      <c r="T6" s="40"/>
      <c r="U6" s="40"/>
      <c r="V6" s="40"/>
      <c r="W6" s="40"/>
      <c r="X6" s="40"/>
      <c r="Y6" s="40"/>
      <c r="Z6" s="40"/>
    </row>
    <row r="7">
      <c r="A7" s="38" t="s">
        <v>173</v>
      </c>
      <c r="B7" s="38" t="s">
        <v>63</v>
      </c>
      <c r="C7" s="45" t="s">
        <v>175</v>
      </c>
      <c r="D7" s="38" t="s">
        <v>84</v>
      </c>
      <c r="E7" s="38" t="s">
        <v>115</v>
      </c>
      <c r="F7" s="45" t="s">
        <v>116</v>
      </c>
      <c r="G7" s="45" t="s">
        <v>180</v>
      </c>
      <c r="H7" s="45" t="s">
        <v>119</v>
      </c>
      <c r="I7" s="45" t="s">
        <v>181</v>
      </c>
      <c r="J7" s="47"/>
      <c r="K7" s="38" t="s">
        <v>172</v>
      </c>
      <c r="L7" s="38" t="s">
        <v>127</v>
      </c>
      <c r="M7" s="38" t="s">
        <v>127</v>
      </c>
      <c r="N7" s="47"/>
      <c r="O7" s="45"/>
      <c r="P7" s="40"/>
      <c r="Q7" s="40"/>
      <c r="R7" s="40"/>
      <c r="S7" s="40"/>
      <c r="T7" s="40"/>
      <c r="U7" s="40"/>
      <c r="V7" s="40"/>
      <c r="W7" s="40"/>
      <c r="X7" s="40"/>
      <c r="Y7" s="40"/>
      <c r="Z7" s="40"/>
    </row>
    <row r="8">
      <c r="A8" s="38" t="s">
        <v>190</v>
      </c>
      <c r="B8" s="38" t="s">
        <v>63</v>
      </c>
      <c r="C8" s="45" t="s">
        <v>191</v>
      </c>
      <c r="D8" s="38" t="s">
        <v>84</v>
      </c>
      <c r="E8" s="38" t="s">
        <v>115</v>
      </c>
      <c r="F8" s="45" t="s">
        <v>193</v>
      </c>
      <c r="G8" s="45"/>
      <c r="H8" s="45" t="s">
        <v>195</v>
      </c>
      <c r="I8" s="45" t="s">
        <v>197</v>
      </c>
      <c r="J8" s="50" t="s">
        <v>142</v>
      </c>
      <c r="K8" s="38" t="s">
        <v>91</v>
      </c>
      <c r="L8" s="38" t="s">
        <v>127</v>
      </c>
      <c r="M8" s="38" t="s">
        <v>127</v>
      </c>
      <c r="N8" s="47"/>
      <c r="O8" s="45"/>
      <c r="P8" s="40"/>
      <c r="Q8" s="40"/>
      <c r="R8" s="40"/>
      <c r="S8" s="40"/>
      <c r="T8" s="40"/>
      <c r="U8" s="40"/>
      <c r="V8" s="40"/>
      <c r="W8" s="40"/>
      <c r="X8" s="40"/>
      <c r="Y8" s="40"/>
      <c r="Z8" s="40"/>
    </row>
    <row r="9">
      <c r="A9" s="38" t="s">
        <v>202</v>
      </c>
      <c r="B9" s="38" t="s">
        <v>63</v>
      </c>
      <c r="C9" s="45" t="s">
        <v>204</v>
      </c>
      <c r="D9" s="38" t="s">
        <v>84</v>
      </c>
      <c r="E9" s="38" t="s">
        <v>115</v>
      </c>
      <c r="F9" s="51" t="s">
        <v>208</v>
      </c>
      <c r="G9" s="51" t="s">
        <v>210</v>
      </c>
      <c r="H9" s="51" t="s">
        <v>211</v>
      </c>
      <c r="I9" s="45" t="s">
        <v>197</v>
      </c>
      <c r="J9" s="50" t="s">
        <v>144</v>
      </c>
      <c r="K9" s="38" t="s">
        <v>91</v>
      </c>
      <c r="L9" s="38" t="s">
        <v>127</v>
      </c>
      <c r="M9" s="38" t="s">
        <v>127</v>
      </c>
      <c r="N9" s="47"/>
      <c r="O9" s="45"/>
      <c r="P9" s="40"/>
      <c r="Q9" s="40"/>
      <c r="R9" s="40"/>
      <c r="S9" s="40"/>
      <c r="T9" s="40"/>
      <c r="U9" s="40"/>
      <c r="V9" s="40"/>
      <c r="W9" s="40"/>
      <c r="X9" s="40"/>
      <c r="Y9" s="40"/>
      <c r="Z9" s="40"/>
    </row>
    <row r="10">
      <c r="A10" s="38" t="s">
        <v>215</v>
      </c>
      <c r="B10" s="38" t="s">
        <v>63</v>
      </c>
      <c r="C10" s="45" t="s">
        <v>217</v>
      </c>
      <c r="D10" s="38" t="s">
        <v>84</v>
      </c>
      <c r="E10" s="38" t="s">
        <v>115</v>
      </c>
      <c r="F10" s="51" t="s">
        <v>220</v>
      </c>
      <c r="G10" s="51" t="s">
        <v>221</v>
      </c>
      <c r="H10" s="51" t="s">
        <v>222</v>
      </c>
      <c r="I10" s="45" t="s">
        <v>197</v>
      </c>
      <c r="J10" s="50" t="s">
        <v>144</v>
      </c>
      <c r="K10" s="38" t="s">
        <v>91</v>
      </c>
      <c r="L10" s="38" t="s">
        <v>127</v>
      </c>
      <c r="M10" s="38" t="s">
        <v>127</v>
      </c>
      <c r="N10" s="47"/>
      <c r="O10" s="45"/>
      <c r="P10" s="40"/>
      <c r="Q10" s="40"/>
      <c r="R10" s="40"/>
      <c r="S10" s="40"/>
      <c r="T10" s="40"/>
      <c r="U10" s="40"/>
      <c r="V10" s="40"/>
      <c r="W10" s="40"/>
      <c r="X10" s="40"/>
      <c r="Y10" s="40"/>
      <c r="Z10" s="40"/>
    </row>
    <row r="11">
      <c r="A11" s="38" t="s">
        <v>228</v>
      </c>
      <c r="B11" s="52" t="s">
        <v>63</v>
      </c>
      <c r="C11" s="53" t="s">
        <v>231</v>
      </c>
      <c r="D11" s="52" t="s">
        <v>84</v>
      </c>
      <c r="E11" s="52" t="s">
        <v>115</v>
      </c>
      <c r="F11" s="53" t="s">
        <v>234</v>
      </c>
      <c r="G11" s="53" t="s">
        <v>235</v>
      </c>
      <c r="H11" s="53" t="s">
        <v>236</v>
      </c>
      <c r="I11" s="50" t="s">
        <v>237</v>
      </c>
      <c r="J11" s="47"/>
      <c r="K11" s="38" t="s">
        <v>172</v>
      </c>
      <c r="L11" s="38" t="s">
        <v>127</v>
      </c>
      <c r="M11" s="38" t="s">
        <v>127</v>
      </c>
      <c r="N11" s="54"/>
      <c r="O11" s="52" t="s">
        <v>164</v>
      </c>
      <c r="P11" s="55"/>
      <c r="Q11" s="55"/>
      <c r="R11" s="55"/>
      <c r="S11" s="55"/>
      <c r="T11" s="55"/>
      <c r="U11" s="55"/>
      <c r="V11" s="55"/>
      <c r="W11" s="55"/>
      <c r="X11" s="55"/>
      <c r="Y11" s="55"/>
      <c r="Z11" s="55"/>
    </row>
    <row r="12">
      <c r="A12" s="38" t="s">
        <v>244</v>
      </c>
      <c r="B12" s="38" t="s">
        <v>63</v>
      </c>
      <c r="C12" s="45" t="s">
        <v>248</v>
      </c>
      <c r="D12" s="38" t="s">
        <v>84</v>
      </c>
      <c r="E12" s="38" t="s">
        <v>115</v>
      </c>
      <c r="F12" s="56" t="s">
        <v>252</v>
      </c>
      <c r="G12" s="56" t="s">
        <v>253</v>
      </c>
      <c r="H12" s="56" t="s">
        <v>255</v>
      </c>
      <c r="I12" s="45" t="s">
        <v>258</v>
      </c>
      <c r="J12" s="50" t="s">
        <v>144</v>
      </c>
      <c r="K12" s="38" t="s">
        <v>91</v>
      </c>
      <c r="L12" s="38" t="s">
        <v>127</v>
      </c>
      <c r="M12" s="38" t="s">
        <v>127</v>
      </c>
      <c r="N12" s="47"/>
      <c r="O12" s="45"/>
      <c r="P12" s="40"/>
      <c r="Q12" s="40"/>
      <c r="R12" s="40"/>
      <c r="S12" s="40"/>
      <c r="T12" s="40"/>
      <c r="U12" s="40"/>
      <c r="V12" s="40"/>
      <c r="W12" s="40"/>
      <c r="X12" s="40"/>
      <c r="Y12" s="40"/>
      <c r="Z12" s="40"/>
    </row>
    <row r="13">
      <c r="A13" s="38" t="s">
        <v>265</v>
      </c>
      <c r="B13" s="38" t="s">
        <v>63</v>
      </c>
      <c r="C13" s="45" t="s">
        <v>267</v>
      </c>
      <c r="D13" s="38" t="s">
        <v>84</v>
      </c>
      <c r="E13" s="38" t="s">
        <v>115</v>
      </c>
      <c r="F13" s="56" t="s">
        <v>270</v>
      </c>
      <c r="G13" s="56" t="s">
        <v>253</v>
      </c>
      <c r="H13" s="56" t="s">
        <v>273</v>
      </c>
      <c r="I13" s="45" t="s">
        <v>275</v>
      </c>
      <c r="J13" s="50" t="s">
        <v>144</v>
      </c>
      <c r="K13" s="38" t="s">
        <v>91</v>
      </c>
      <c r="L13" s="38" t="s">
        <v>127</v>
      </c>
      <c r="M13" s="38" t="s">
        <v>127</v>
      </c>
      <c r="N13" s="47"/>
      <c r="O13" s="45"/>
      <c r="P13" s="40"/>
      <c r="Q13" s="40"/>
      <c r="R13" s="40"/>
      <c r="S13" s="40"/>
      <c r="T13" s="40"/>
      <c r="U13" s="40"/>
      <c r="V13" s="40"/>
      <c r="W13" s="40"/>
      <c r="X13" s="40"/>
      <c r="Y13" s="40"/>
      <c r="Z13" s="40"/>
    </row>
    <row r="14">
      <c r="A14" s="38" t="s">
        <v>283</v>
      </c>
      <c r="B14" s="38" t="s">
        <v>63</v>
      </c>
      <c r="C14" s="45" t="s">
        <v>284</v>
      </c>
      <c r="D14" s="38" t="s">
        <v>84</v>
      </c>
      <c r="E14" s="38" t="s">
        <v>115</v>
      </c>
      <c r="F14" s="56" t="s">
        <v>286</v>
      </c>
      <c r="G14" s="56" t="s">
        <v>287</v>
      </c>
      <c r="H14" s="56" t="s">
        <v>236</v>
      </c>
      <c r="I14" s="56" t="s">
        <v>288</v>
      </c>
      <c r="J14" s="50" t="s">
        <v>144</v>
      </c>
      <c r="K14" s="38" t="s">
        <v>91</v>
      </c>
      <c r="L14" s="38" t="s">
        <v>127</v>
      </c>
      <c r="M14" s="38" t="s">
        <v>127</v>
      </c>
      <c r="N14" s="47"/>
      <c r="O14" s="45"/>
      <c r="P14" s="40"/>
      <c r="Q14" s="40"/>
      <c r="R14" s="40"/>
      <c r="S14" s="40"/>
      <c r="T14" s="40"/>
      <c r="U14" s="40"/>
      <c r="V14" s="40"/>
      <c r="W14" s="40"/>
      <c r="X14" s="40"/>
      <c r="Y14" s="40"/>
      <c r="Z14" s="40"/>
    </row>
    <row r="15">
      <c r="A15" s="38" t="s">
        <v>297</v>
      </c>
      <c r="B15" s="38" t="s">
        <v>63</v>
      </c>
      <c r="C15" s="45" t="s">
        <v>298</v>
      </c>
      <c r="D15" s="38" t="s">
        <v>84</v>
      </c>
      <c r="E15" s="38" t="s">
        <v>115</v>
      </c>
      <c r="F15" s="56" t="s">
        <v>300</v>
      </c>
      <c r="G15" s="56" t="s">
        <v>302</v>
      </c>
      <c r="H15" s="56" t="s">
        <v>236</v>
      </c>
      <c r="I15" s="56" t="s">
        <v>303</v>
      </c>
      <c r="J15" s="50" t="s">
        <v>144</v>
      </c>
      <c r="K15" s="38" t="s">
        <v>91</v>
      </c>
      <c r="L15" s="38" t="s">
        <v>127</v>
      </c>
      <c r="M15" s="38" t="s">
        <v>127</v>
      </c>
      <c r="N15" s="47"/>
      <c r="O15" s="45"/>
      <c r="P15" s="40"/>
      <c r="Q15" s="40"/>
      <c r="R15" s="40"/>
      <c r="S15" s="40"/>
      <c r="T15" s="40"/>
      <c r="U15" s="40"/>
      <c r="V15" s="40"/>
      <c r="W15" s="40"/>
      <c r="X15" s="40"/>
      <c r="Y15" s="40"/>
      <c r="Z15" s="40"/>
    </row>
    <row r="16">
      <c r="A16" s="38" t="s">
        <v>305</v>
      </c>
      <c r="B16" s="38" t="s">
        <v>63</v>
      </c>
      <c r="C16" s="45" t="s">
        <v>306</v>
      </c>
      <c r="D16" s="38" t="s">
        <v>84</v>
      </c>
      <c r="E16" s="38" t="s">
        <v>115</v>
      </c>
      <c r="F16" s="56" t="s">
        <v>300</v>
      </c>
      <c r="G16" s="56" t="s">
        <v>307</v>
      </c>
      <c r="H16" s="45" t="s">
        <v>308</v>
      </c>
      <c r="I16" s="56" t="s">
        <v>309</v>
      </c>
      <c r="J16" s="47"/>
      <c r="K16" s="38" t="s">
        <v>172</v>
      </c>
      <c r="L16" s="38" t="s">
        <v>127</v>
      </c>
      <c r="M16" s="38" t="s">
        <v>127</v>
      </c>
      <c r="N16" s="47"/>
      <c r="O16" s="45"/>
      <c r="P16" s="40"/>
      <c r="Q16" s="40"/>
      <c r="R16" s="40"/>
      <c r="S16" s="40"/>
      <c r="T16" s="40"/>
      <c r="U16" s="40"/>
      <c r="V16" s="40"/>
      <c r="W16" s="40"/>
      <c r="X16" s="40"/>
      <c r="Y16" s="40"/>
      <c r="Z16" s="40"/>
    </row>
    <row r="17">
      <c r="A17" s="38" t="s">
        <v>311</v>
      </c>
      <c r="B17" s="38" t="s">
        <v>63</v>
      </c>
      <c r="C17" s="45" t="s">
        <v>312</v>
      </c>
      <c r="D17" s="38" t="s">
        <v>84</v>
      </c>
      <c r="E17" s="38" t="s">
        <v>115</v>
      </c>
      <c r="F17" s="56" t="s">
        <v>300</v>
      </c>
      <c r="G17" s="56" t="s">
        <v>316</v>
      </c>
      <c r="H17" s="56" t="s">
        <v>236</v>
      </c>
      <c r="I17" s="56" t="s">
        <v>318</v>
      </c>
      <c r="J17" s="50" t="s">
        <v>144</v>
      </c>
      <c r="K17" s="38" t="s">
        <v>91</v>
      </c>
      <c r="L17" s="38" t="s">
        <v>127</v>
      </c>
      <c r="M17" s="38" t="s">
        <v>127</v>
      </c>
      <c r="N17" s="47"/>
      <c r="O17" s="45"/>
      <c r="P17" s="40"/>
      <c r="Q17" s="40"/>
      <c r="R17" s="40"/>
      <c r="S17" s="40"/>
      <c r="T17" s="40"/>
      <c r="U17" s="40"/>
      <c r="V17" s="40"/>
      <c r="W17" s="40"/>
      <c r="X17" s="40"/>
      <c r="Y17" s="40"/>
      <c r="Z17" s="40"/>
    </row>
    <row r="18">
      <c r="A18" s="38" t="s">
        <v>322</v>
      </c>
      <c r="B18" s="38" t="s">
        <v>63</v>
      </c>
      <c r="C18" s="45" t="s">
        <v>324</v>
      </c>
      <c r="D18" s="38" t="s">
        <v>84</v>
      </c>
      <c r="E18" s="38" t="s">
        <v>115</v>
      </c>
      <c r="F18" s="56" t="s">
        <v>300</v>
      </c>
      <c r="G18" s="56" t="s">
        <v>302</v>
      </c>
      <c r="H18" s="56" t="s">
        <v>236</v>
      </c>
      <c r="I18" s="56" t="s">
        <v>329</v>
      </c>
      <c r="J18" s="50" t="s">
        <v>144</v>
      </c>
      <c r="K18" s="38" t="s">
        <v>91</v>
      </c>
      <c r="L18" s="38" t="s">
        <v>127</v>
      </c>
      <c r="M18" s="38" t="s">
        <v>127</v>
      </c>
      <c r="N18" s="47"/>
      <c r="O18" s="45"/>
      <c r="P18" s="40"/>
      <c r="Q18" s="40"/>
      <c r="R18" s="40"/>
      <c r="S18" s="40"/>
      <c r="T18" s="40"/>
      <c r="U18" s="40"/>
      <c r="V18" s="40"/>
      <c r="W18" s="40"/>
      <c r="X18" s="40"/>
      <c r="Y18" s="40"/>
      <c r="Z18" s="40"/>
    </row>
    <row r="19">
      <c r="A19" s="43"/>
      <c r="B19" s="44" t="s">
        <v>334</v>
      </c>
      <c r="C19" s="23"/>
      <c r="D19" s="23"/>
      <c r="E19" s="23"/>
      <c r="F19" s="23"/>
      <c r="G19" s="23"/>
      <c r="H19" s="23"/>
      <c r="I19" s="23"/>
      <c r="J19" s="24"/>
      <c r="K19" s="44"/>
      <c r="L19" s="23"/>
      <c r="M19" s="23"/>
      <c r="N19" s="23"/>
      <c r="O19" s="24"/>
      <c r="P19" s="40"/>
      <c r="Q19" s="40"/>
      <c r="R19" s="40"/>
      <c r="S19" s="40"/>
      <c r="T19" s="40"/>
      <c r="U19" s="40"/>
      <c r="V19" s="40"/>
      <c r="W19" s="40"/>
      <c r="X19" s="40"/>
      <c r="Y19" s="40"/>
      <c r="Z19" s="40"/>
    </row>
    <row r="20">
      <c r="A20" s="38" t="s">
        <v>340</v>
      </c>
      <c r="B20" s="38" t="s">
        <v>63</v>
      </c>
      <c r="C20" s="45" t="s">
        <v>341</v>
      </c>
      <c r="D20" s="38" t="s">
        <v>342</v>
      </c>
      <c r="E20" s="38" t="s">
        <v>344</v>
      </c>
      <c r="F20" s="45" t="s">
        <v>345</v>
      </c>
      <c r="G20" s="56" t="s">
        <v>210</v>
      </c>
      <c r="H20" s="56" t="s">
        <v>346</v>
      </c>
      <c r="I20" s="45" t="s">
        <v>347</v>
      </c>
      <c r="J20" s="47"/>
      <c r="K20" s="38" t="s">
        <v>172</v>
      </c>
      <c r="L20" s="38" t="s">
        <v>127</v>
      </c>
      <c r="M20" s="38" t="s">
        <v>127</v>
      </c>
      <c r="N20" s="47"/>
      <c r="O20" s="45"/>
      <c r="P20" s="40"/>
      <c r="Q20" s="40"/>
      <c r="R20" s="40"/>
      <c r="S20" s="40"/>
      <c r="T20" s="40"/>
      <c r="U20" s="40"/>
      <c r="V20" s="40"/>
      <c r="W20" s="40"/>
      <c r="X20" s="40"/>
      <c r="Y20" s="40"/>
      <c r="Z20" s="40"/>
    </row>
    <row r="21">
      <c r="A21" s="38" t="s">
        <v>354</v>
      </c>
      <c r="B21" s="38" t="s">
        <v>63</v>
      </c>
      <c r="C21" s="45" t="s">
        <v>356</v>
      </c>
      <c r="D21" s="38" t="s">
        <v>342</v>
      </c>
      <c r="E21" s="38" t="s">
        <v>344</v>
      </c>
      <c r="F21" s="56" t="s">
        <v>363</v>
      </c>
      <c r="G21" s="56" t="s">
        <v>210</v>
      </c>
      <c r="H21" s="56" t="s">
        <v>365</v>
      </c>
      <c r="I21" s="45" t="s">
        <v>141</v>
      </c>
      <c r="J21" s="47"/>
      <c r="K21" s="38" t="s">
        <v>172</v>
      </c>
      <c r="L21" s="38" t="s">
        <v>127</v>
      </c>
      <c r="M21" s="38" t="s">
        <v>127</v>
      </c>
      <c r="N21" s="47"/>
      <c r="O21" s="45"/>
      <c r="P21" s="40"/>
      <c r="Q21" s="40"/>
      <c r="R21" s="40"/>
      <c r="S21" s="40"/>
      <c r="T21" s="40"/>
      <c r="U21" s="40"/>
      <c r="V21" s="40"/>
      <c r="W21" s="40"/>
      <c r="X21" s="40"/>
      <c r="Y21" s="40"/>
      <c r="Z21" s="40"/>
    </row>
    <row r="22">
      <c r="A22" s="38" t="s">
        <v>370</v>
      </c>
      <c r="B22" s="38" t="s">
        <v>63</v>
      </c>
      <c r="C22" s="45" t="s">
        <v>372</v>
      </c>
      <c r="D22" s="38" t="s">
        <v>342</v>
      </c>
      <c r="E22" s="38" t="s">
        <v>344</v>
      </c>
      <c r="F22" s="56" t="s">
        <v>363</v>
      </c>
      <c r="G22" s="56" t="s">
        <v>210</v>
      </c>
      <c r="H22" s="56" t="s">
        <v>376</v>
      </c>
      <c r="I22" s="45" t="s">
        <v>258</v>
      </c>
      <c r="J22" s="47"/>
      <c r="K22" s="38" t="s">
        <v>172</v>
      </c>
      <c r="L22" s="38" t="s">
        <v>127</v>
      </c>
      <c r="M22" s="38" t="s">
        <v>127</v>
      </c>
      <c r="N22" s="47"/>
      <c r="O22" s="45"/>
      <c r="P22" s="40"/>
      <c r="Q22" s="40"/>
      <c r="R22" s="40"/>
      <c r="S22" s="40"/>
      <c r="T22" s="40"/>
      <c r="U22" s="40"/>
      <c r="V22" s="40"/>
      <c r="W22" s="40"/>
      <c r="X22" s="40"/>
      <c r="Y22" s="40"/>
      <c r="Z22" s="40"/>
    </row>
    <row r="23">
      <c r="A23" s="38" t="s">
        <v>381</v>
      </c>
      <c r="B23" s="38" t="s">
        <v>63</v>
      </c>
      <c r="C23" s="45" t="s">
        <v>383</v>
      </c>
      <c r="D23" s="38" t="s">
        <v>342</v>
      </c>
      <c r="E23" s="38" t="s">
        <v>344</v>
      </c>
      <c r="F23" s="56" t="s">
        <v>363</v>
      </c>
      <c r="G23" s="56" t="s">
        <v>390</v>
      </c>
      <c r="H23" s="56" t="s">
        <v>391</v>
      </c>
      <c r="I23" s="45" t="s">
        <v>258</v>
      </c>
      <c r="J23" s="47"/>
      <c r="K23" s="38" t="s">
        <v>172</v>
      </c>
      <c r="L23" s="38" t="s">
        <v>127</v>
      </c>
      <c r="M23" s="38" t="s">
        <v>127</v>
      </c>
      <c r="N23" s="47"/>
      <c r="O23" s="45"/>
      <c r="P23" s="40"/>
      <c r="Q23" s="40"/>
      <c r="R23" s="40"/>
      <c r="S23" s="40"/>
      <c r="T23" s="40"/>
      <c r="U23" s="40"/>
      <c r="V23" s="40"/>
      <c r="W23" s="40"/>
      <c r="X23" s="40"/>
      <c r="Y23" s="40"/>
      <c r="Z23" s="40"/>
    </row>
    <row r="24">
      <c r="A24" s="38" t="s">
        <v>395</v>
      </c>
      <c r="B24" s="38" t="s">
        <v>63</v>
      </c>
      <c r="C24" s="45" t="s">
        <v>396</v>
      </c>
      <c r="D24" s="38" t="s">
        <v>342</v>
      </c>
      <c r="E24" s="38" t="s">
        <v>344</v>
      </c>
      <c r="F24" s="56" t="s">
        <v>363</v>
      </c>
      <c r="G24" s="56" t="s">
        <v>399</v>
      </c>
      <c r="H24" s="56" t="s">
        <v>400</v>
      </c>
      <c r="I24" s="45" t="s">
        <v>401</v>
      </c>
      <c r="J24" s="47"/>
      <c r="K24" s="38" t="s">
        <v>172</v>
      </c>
      <c r="L24" s="38" t="s">
        <v>127</v>
      </c>
      <c r="M24" s="38" t="s">
        <v>127</v>
      </c>
      <c r="N24" s="47"/>
      <c r="O24" s="45"/>
      <c r="P24" s="40"/>
      <c r="Q24" s="40"/>
      <c r="R24" s="40"/>
      <c r="S24" s="40"/>
      <c r="T24" s="40"/>
      <c r="U24" s="40"/>
      <c r="V24" s="40"/>
      <c r="W24" s="40"/>
      <c r="X24" s="40"/>
      <c r="Y24" s="40"/>
      <c r="Z24" s="40"/>
    </row>
    <row r="25">
      <c r="A25" s="38" t="s">
        <v>407</v>
      </c>
      <c r="B25" s="38" t="s">
        <v>63</v>
      </c>
      <c r="C25" s="45" t="s">
        <v>408</v>
      </c>
      <c r="D25" s="38" t="s">
        <v>342</v>
      </c>
      <c r="E25" s="38" t="s">
        <v>344</v>
      </c>
      <c r="F25" s="45" t="s">
        <v>411</v>
      </c>
      <c r="G25" s="56" t="s">
        <v>210</v>
      </c>
      <c r="H25" s="56" t="s">
        <v>415</v>
      </c>
      <c r="I25" s="45" t="s">
        <v>401</v>
      </c>
      <c r="J25" s="47"/>
      <c r="K25" s="38" t="s">
        <v>172</v>
      </c>
      <c r="L25" s="38" t="s">
        <v>127</v>
      </c>
      <c r="M25" s="38" t="s">
        <v>127</v>
      </c>
      <c r="N25" s="47"/>
      <c r="O25" s="45"/>
      <c r="P25" s="40"/>
      <c r="Q25" s="40"/>
      <c r="R25" s="40"/>
      <c r="S25" s="40"/>
      <c r="T25" s="40"/>
      <c r="U25" s="40"/>
      <c r="V25" s="40"/>
      <c r="W25" s="40"/>
      <c r="X25" s="40"/>
      <c r="Y25" s="40"/>
      <c r="Z25" s="40"/>
    </row>
    <row r="26">
      <c r="A26" s="38" t="s">
        <v>419</v>
      </c>
      <c r="B26" s="38" t="s">
        <v>63</v>
      </c>
      <c r="C26" s="45" t="s">
        <v>421</v>
      </c>
      <c r="D26" s="38" t="s">
        <v>342</v>
      </c>
      <c r="E26" s="38" t="s">
        <v>344</v>
      </c>
      <c r="F26" s="45" t="s">
        <v>423</v>
      </c>
      <c r="G26" s="56" t="s">
        <v>210</v>
      </c>
      <c r="H26" s="56" t="s">
        <v>426</v>
      </c>
      <c r="I26" s="45" t="s">
        <v>347</v>
      </c>
      <c r="J26" s="47"/>
      <c r="K26" s="38" t="s">
        <v>172</v>
      </c>
      <c r="L26" s="38" t="s">
        <v>127</v>
      </c>
      <c r="M26" s="38" t="s">
        <v>127</v>
      </c>
      <c r="N26" s="47"/>
      <c r="O26" s="45"/>
      <c r="P26" s="40"/>
      <c r="Q26" s="40"/>
      <c r="R26" s="40"/>
      <c r="S26" s="40"/>
      <c r="T26" s="40"/>
      <c r="U26" s="40"/>
      <c r="V26" s="40"/>
      <c r="W26" s="40"/>
      <c r="X26" s="40"/>
      <c r="Y26" s="40"/>
      <c r="Z26" s="40"/>
    </row>
    <row r="27">
      <c r="A27" s="38" t="s">
        <v>430</v>
      </c>
      <c r="B27" s="38" t="s">
        <v>63</v>
      </c>
      <c r="C27" s="45" t="s">
        <v>431</v>
      </c>
      <c r="D27" s="38" t="s">
        <v>342</v>
      </c>
      <c r="E27" s="38" t="s">
        <v>344</v>
      </c>
      <c r="F27" s="56" t="s">
        <v>433</v>
      </c>
      <c r="G27" s="56" t="s">
        <v>210</v>
      </c>
      <c r="H27" s="56" t="s">
        <v>434</v>
      </c>
      <c r="I27" s="45" t="s">
        <v>401</v>
      </c>
      <c r="J27" s="47"/>
      <c r="K27" s="38" t="s">
        <v>172</v>
      </c>
      <c r="L27" s="38" t="s">
        <v>127</v>
      </c>
      <c r="M27" s="38" t="s">
        <v>127</v>
      </c>
      <c r="N27" s="47"/>
      <c r="O27" s="45"/>
      <c r="P27" s="40"/>
      <c r="Q27" s="40"/>
      <c r="R27" s="40"/>
      <c r="S27" s="40"/>
      <c r="T27" s="40"/>
      <c r="U27" s="40"/>
      <c r="V27" s="40"/>
      <c r="W27" s="40"/>
      <c r="X27" s="40"/>
      <c r="Y27" s="40"/>
      <c r="Z27" s="40"/>
    </row>
    <row r="28">
      <c r="A28" s="43"/>
      <c r="B28" s="44" t="s">
        <v>437</v>
      </c>
      <c r="C28" s="23"/>
      <c r="D28" s="23"/>
      <c r="E28" s="23"/>
      <c r="F28" s="23"/>
      <c r="G28" s="23"/>
      <c r="H28" s="23"/>
      <c r="I28" s="23"/>
      <c r="J28" s="24"/>
      <c r="K28" s="44"/>
      <c r="L28" s="23"/>
      <c r="M28" s="23"/>
      <c r="N28" s="23"/>
      <c r="O28" s="24"/>
      <c r="P28" s="40"/>
      <c r="Q28" s="40"/>
      <c r="R28" s="40"/>
      <c r="S28" s="40"/>
      <c r="T28" s="40"/>
      <c r="U28" s="40"/>
      <c r="V28" s="40"/>
      <c r="W28" s="40"/>
      <c r="X28" s="40"/>
      <c r="Y28" s="40"/>
      <c r="Z28" s="40"/>
    </row>
    <row r="29">
      <c r="A29" s="38" t="s">
        <v>441</v>
      </c>
      <c r="B29" s="38" t="s">
        <v>63</v>
      </c>
      <c r="C29" s="45" t="s">
        <v>443</v>
      </c>
      <c r="D29" s="38" t="s">
        <v>219</v>
      </c>
      <c r="E29" s="38" t="s">
        <v>444</v>
      </c>
      <c r="F29" s="45" t="s">
        <v>446</v>
      </c>
      <c r="G29" s="45" t="s">
        <v>448</v>
      </c>
      <c r="H29" s="45" t="s">
        <v>450</v>
      </c>
      <c r="I29" s="60" t="s">
        <v>452</v>
      </c>
      <c r="J29" s="47"/>
      <c r="K29" s="38" t="s">
        <v>172</v>
      </c>
      <c r="L29" s="38" t="s">
        <v>127</v>
      </c>
      <c r="M29" s="38" t="s">
        <v>127</v>
      </c>
      <c r="N29" s="47"/>
      <c r="O29" s="45"/>
      <c r="P29" s="61"/>
      <c r="Q29" s="61"/>
      <c r="R29" s="61"/>
      <c r="S29" s="61"/>
      <c r="T29" s="61"/>
      <c r="U29" s="61"/>
      <c r="V29" s="61"/>
      <c r="W29" s="61"/>
      <c r="X29" s="61"/>
      <c r="Y29" s="61"/>
      <c r="Z29" s="61"/>
    </row>
    <row r="30">
      <c r="A30" s="38" t="s">
        <v>454</v>
      </c>
      <c r="B30" s="38" t="s">
        <v>63</v>
      </c>
      <c r="C30" s="45" t="s">
        <v>455</v>
      </c>
      <c r="D30" s="38" t="s">
        <v>219</v>
      </c>
      <c r="E30" s="38" t="s">
        <v>444</v>
      </c>
      <c r="F30" s="45" t="s">
        <v>446</v>
      </c>
      <c r="G30" s="45" t="s">
        <v>456</v>
      </c>
      <c r="H30" s="56" t="s">
        <v>457</v>
      </c>
      <c r="I30" s="60" t="s">
        <v>458</v>
      </c>
      <c r="J30" s="47"/>
      <c r="K30" s="38" t="s">
        <v>172</v>
      </c>
      <c r="L30" s="38" t="s">
        <v>127</v>
      </c>
      <c r="M30" s="38" t="s">
        <v>127</v>
      </c>
      <c r="N30" s="47"/>
      <c r="O30" s="45"/>
      <c r="P30" s="61"/>
      <c r="Q30" s="61"/>
      <c r="R30" s="61"/>
      <c r="S30" s="61"/>
      <c r="T30" s="61"/>
      <c r="U30" s="61"/>
      <c r="V30" s="61"/>
      <c r="W30" s="61"/>
      <c r="X30" s="61"/>
      <c r="Y30" s="61"/>
      <c r="Z30" s="61"/>
    </row>
    <row r="31">
      <c r="A31" s="38" t="s">
        <v>459</v>
      </c>
      <c r="B31" s="38" t="s">
        <v>63</v>
      </c>
      <c r="C31" s="45" t="s">
        <v>460</v>
      </c>
      <c r="D31" s="38" t="s">
        <v>219</v>
      </c>
      <c r="E31" s="38" t="s">
        <v>444</v>
      </c>
      <c r="F31" s="45" t="s">
        <v>446</v>
      </c>
      <c r="G31" s="45" t="s">
        <v>461</v>
      </c>
      <c r="H31" s="56" t="s">
        <v>462</v>
      </c>
      <c r="I31" s="60" t="s">
        <v>237</v>
      </c>
      <c r="J31" s="47"/>
      <c r="K31" s="38" t="s">
        <v>172</v>
      </c>
      <c r="L31" s="38" t="s">
        <v>127</v>
      </c>
      <c r="M31" s="38" t="s">
        <v>127</v>
      </c>
      <c r="N31" s="47"/>
      <c r="O31" s="45"/>
      <c r="P31" s="61"/>
      <c r="Q31" s="61"/>
      <c r="R31" s="61"/>
      <c r="S31" s="61"/>
      <c r="T31" s="61"/>
      <c r="U31" s="61"/>
      <c r="V31" s="61"/>
      <c r="W31" s="61"/>
      <c r="X31" s="61"/>
      <c r="Y31" s="61"/>
      <c r="Z31" s="61"/>
    </row>
    <row r="32">
      <c r="A32" s="38" t="s">
        <v>463</v>
      </c>
      <c r="B32" s="38" t="s">
        <v>63</v>
      </c>
      <c r="C32" s="45" t="s">
        <v>464</v>
      </c>
      <c r="D32" s="38" t="s">
        <v>219</v>
      </c>
      <c r="E32" s="38" t="s">
        <v>444</v>
      </c>
      <c r="F32" s="45" t="s">
        <v>465</v>
      </c>
      <c r="G32" s="45" t="s">
        <v>466</v>
      </c>
      <c r="H32" s="56" t="s">
        <v>467</v>
      </c>
      <c r="I32" s="60" t="s">
        <v>468</v>
      </c>
      <c r="J32" s="47"/>
      <c r="K32" s="38" t="s">
        <v>172</v>
      </c>
      <c r="L32" s="38" t="s">
        <v>127</v>
      </c>
      <c r="M32" s="38" t="s">
        <v>127</v>
      </c>
      <c r="N32" s="47"/>
      <c r="O32" s="45"/>
      <c r="P32" s="61"/>
      <c r="Q32" s="61"/>
      <c r="R32" s="61"/>
      <c r="S32" s="61"/>
      <c r="T32" s="61"/>
      <c r="U32" s="61"/>
      <c r="V32" s="61"/>
      <c r="W32" s="61"/>
      <c r="X32" s="61"/>
      <c r="Y32" s="61"/>
      <c r="Z32" s="61"/>
    </row>
    <row r="33">
      <c r="A33" s="38" t="s">
        <v>469</v>
      </c>
      <c r="B33" s="38" t="s">
        <v>63</v>
      </c>
      <c r="C33" s="45" t="s">
        <v>470</v>
      </c>
      <c r="D33" s="38" t="s">
        <v>219</v>
      </c>
      <c r="E33" s="38" t="s">
        <v>444</v>
      </c>
      <c r="F33" s="45" t="s">
        <v>433</v>
      </c>
      <c r="G33" s="45" t="s">
        <v>466</v>
      </c>
      <c r="H33" s="56" t="s">
        <v>471</v>
      </c>
      <c r="I33" s="60" t="s">
        <v>468</v>
      </c>
      <c r="J33" s="47"/>
      <c r="K33" s="38" t="s">
        <v>172</v>
      </c>
      <c r="L33" s="38" t="s">
        <v>127</v>
      </c>
      <c r="M33" s="38" t="s">
        <v>127</v>
      </c>
      <c r="N33" s="47"/>
      <c r="O33" s="45"/>
      <c r="P33" s="61"/>
      <c r="Q33" s="61"/>
      <c r="R33" s="61"/>
      <c r="S33" s="61"/>
      <c r="T33" s="61"/>
      <c r="U33" s="61"/>
      <c r="V33" s="61"/>
      <c r="W33" s="61"/>
      <c r="X33" s="61"/>
      <c r="Y33" s="61"/>
      <c r="Z33" s="61"/>
    </row>
    <row r="34">
      <c r="A34" s="38" t="s">
        <v>472</v>
      </c>
      <c r="B34" s="38" t="s">
        <v>63</v>
      </c>
      <c r="C34" s="45" t="s">
        <v>473</v>
      </c>
      <c r="D34" s="38" t="s">
        <v>219</v>
      </c>
      <c r="E34" s="38" t="s">
        <v>444</v>
      </c>
      <c r="F34" s="45" t="s">
        <v>474</v>
      </c>
      <c r="G34" s="45" t="s">
        <v>466</v>
      </c>
      <c r="H34" s="56" t="s">
        <v>475</v>
      </c>
      <c r="I34" s="60" t="s">
        <v>468</v>
      </c>
      <c r="J34" s="47"/>
      <c r="K34" s="38" t="s">
        <v>172</v>
      </c>
      <c r="L34" s="38" t="s">
        <v>127</v>
      </c>
      <c r="M34" s="38" t="s">
        <v>127</v>
      </c>
      <c r="N34" s="47"/>
      <c r="O34" s="45"/>
      <c r="P34" s="61"/>
      <c r="Q34" s="61"/>
      <c r="R34" s="61"/>
      <c r="S34" s="61"/>
      <c r="T34" s="61"/>
      <c r="U34" s="61"/>
      <c r="V34" s="61"/>
      <c r="W34" s="61"/>
      <c r="X34" s="61"/>
      <c r="Y34" s="61"/>
      <c r="Z34" s="61"/>
    </row>
    <row r="35">
      <c r="A35" s="38" t="s">
        <v>476</v>
      </c>
      <c r="B35" s="38" t="s">
        <v>63</v>
      </c>
      <c r="C35" s="45" t="s">
        <v>477</v>
      </c>
      <c r="D35" s="38" t="s">
        <v>219</v>
      </c>
      <c r="E35" s="38" t="s">
        <v>444</v>
      </c>
      <c r="F35" s="45" t="s">
        <v>446</v>
      </c>
      <c r="G35" s="45" t="s">
        <v>466</v>
      </c>
      <c r="H35" s="45" t="s">
        <v>478</v>
      </c>
      <c r="I35" s="62" t="s">
        <v>479</v>
      </c>
      <c r="J35" s="47"/>
      <c r="K35" s="38" t="s">
        <v>172</v>
      </c>
      <c r="L35" s="38" t="s">
        <v>127</v>
      </c>
      <c r="M35" s="38" t="s">
        <v>127</v>
      </c>
      <c r="N35" s="47"/>
      <c r="O35" s="45"/>
      <c r="P35" s="61"/>
      <c r="Q35" s="61"/>
      <c r="R35" s="61"/>
      <c r="S35" s="61"/>
      <c r="T35" s="61"/>
      <c r="U35" s="61"/>
      <c r="V35" s="61"/>
      <c r="W35" s="61"/>
      <c r="X35" s="61"/>
      <c r="Y35" s="61"/>
      <c r="Z35" s="61"/>
    </row>
    <row r="36">
      <c r="A36" s="38" t="s">
        <v>480</v>
      </c>
      <c r="B36" s="38" t="s">
        <v>63</v>
      </c>
      <c r="C36" s="45" t="s">
        <v>481</v>
      </c>
      <c r="D36" s="38" t="s">
        <v>219</v>
      </c>
      <c r="E36" s="38" t="s">
        <v>444</v>
      </c>
      <c r="F36" s="45" t="s">
        <v>446</v>
      </c>
      <c r="G36" s="45" t="s">
        <v>466</v>
      </c>
      <c r="H36" s="45" t="s">
        <v>482</v>
      </c>
      <c r="I36" s="62" t="s">
        <v>483</v>
      </c>
      <c r="J36" s="47"/>
      <c r="K36" s="38" t="s">
        <v>172</v>
      </c>
      <c r="L36" s="38" t="s">
        <v>127</v>
      </c>
      <c r="M36" s="38" t="s">
        <v>127</v>
      </c>
      <c r="N36" s="47"/>
      <c r="O36" s="45"/>
      <c r="P36" s="61"/>
      <c r="Q36" s="61"/>
      <c r="R36" s="61"/>
      <c r="S36" s="61"/>
      <c r="T36" s="61"/>
      <c r="U36" s="61"/>
      <c r="V36" s="61"/>
      <c r="W36" s="61"/>
      <c r="X36" s="61"/>
      <c r="Y36" s="61"/>
      <c r="Z36" s="61"/>
    </row>
    <row r="37">
      <c r="A37" s="40"/>
      <c r="B37" s="40"/>
      <c r="C37" s="40"/>
      <c r="D37" s="40"/>
      <c r="E37" s="40"/>
      <c r="F37" s="40"/>
      <c r="G37" s="40"/>
      <c r="H37" s="40"/>
      <c r="I37" s="40"/>
      <c r="J37" s="28"/>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28"/>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28"/>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28"/>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28"/>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28"/>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28"/>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28"/>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28"/>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28"/>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28"/>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28"/>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28"/>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28"/>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28"/>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28"/>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28"/>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28"/>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28"/>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28"/>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28"/>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28"/>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28"/>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28"/>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28"/>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28"/>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28"/>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28"/>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28"/>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28"/>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28"/>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28"/>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28"/>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28"/>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28"/>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28"/>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28"/>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28"/>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28"/>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28"/>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28"/>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28"/>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28"/>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28"/>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28"/>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28"/>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28"/>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28"/>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28"/>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28"/>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28"/>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28"/>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28"/>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28"/>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28"/>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28"/>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28"/>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28"/>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28"/>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28"/>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28"/>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28"/>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28"/>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28"/>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28"/>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28"/>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28"/>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28"/>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28"/>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28"/>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28"/>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28"/>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28"/>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28"/>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28"/>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28"/>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28"/>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28"/>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28"/>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28"/>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28"/>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28"/>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28"/>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28"/>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28"/>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28"/>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28"/>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28"/>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28"/>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28"/>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28"/>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28"/>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28"/>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28"/>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28"/>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28"/>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28"/>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28"/>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28"/>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28"/>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28"/>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28"/>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28"/>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28"/>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28"/>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28"/>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28"/>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28"/>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28"/>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28"/>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28"/>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28"/>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28"/>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28"/>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28"/>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28"/>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28"/>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28"/>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28"/>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28"/>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28"/>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28"/>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28"/>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28"/>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28"/>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28"/>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28"/>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28"/>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28"/>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28"/>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28"/>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28"/>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28"/>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28"/>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28"/>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28"/>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28"/>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28"/>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28"/>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28"/>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28"/>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28"/>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28"/>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28"/>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28"/>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28"/>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28"/>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28"/>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28"/>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28"/>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28"/>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28"/>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28"/>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28"/>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28"/>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28"/>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28"/>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28"/>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28"/>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28"/>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28"/>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28"/>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28"/>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28"/>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28"/>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28"/>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28"/>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28"/>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28"/>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28"/>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28"/>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28"/>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28"/>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28"/>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28"/>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28"/>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28"/>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28"/>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28"/>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28"/>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28"/>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28"/>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28"/>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28"/>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28"/>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28"/>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28"/>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28"/>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28"/>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28"/>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28"/>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28"/>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28"/>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28"/>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28"/>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28"/>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28"/>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28"/>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28"/>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28"/>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28"/>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28"/>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28"/>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28"/>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28"/>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28"/>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28"/>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28"/>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28"/>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28"/>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28"/>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28"/>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28"/>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28"/>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28"/>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28"/>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28"/>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28"/>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28"/>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28"/>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28"/>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28"/>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28"/>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28"/>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28"/>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28"/>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28"/>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28"/>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28"/>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28"/>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28"/>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28"/>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28"/>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28"/>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28"/>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28"/>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28"/>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28"/>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28"/>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28"/>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28"/>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28"/>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28"/>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28"/>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28"/>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28"/>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28"/>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28"/>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28"/>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28"/>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28"/>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28"/>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28"/>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28"/>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28"/>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28"/>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28"/>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28"/>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28"/>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28"/>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28"/>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28"/>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28"/>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28"/>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28"/>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28"/>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28"/>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28"/>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28"/>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28"/>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28"/>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28"/>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28"/>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28"/>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28"/>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28"/>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28"/>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28"/>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28"/>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28"/>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28"/>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28"/>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28"/>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28"/>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28"/>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28"/>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28"/>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28"/>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28"/>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28"/>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28"/>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28"/>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28"/>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28"/>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28"/>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28"/>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28"/>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28"/>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28"/>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28"/>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28"/>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28"/>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28"/>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28"/>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28"/>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28"/>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28"/>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28"/>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28"/>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28"/>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28"/>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28"/>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28"/>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28"/>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28"/>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28"/>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28"/>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28"/>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28"/>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28"/>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28"/>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28"/>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28"/>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28"/>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28"/>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28"/>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28"/>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28"/>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28"/>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28"/>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28"/>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28"/>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28"/>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28"/>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28"/>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28"/>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28"/>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28"/>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28"/>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28"/>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28"/>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28"/>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28"/>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28"/>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28"/>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28"/>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28"/>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28"/>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28"/>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28"/>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28"/>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28"/>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28"/>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28"/>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28"/>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28"/>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28"/>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28"/>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28"/>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28"/>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28"/>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28"/>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28"/>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28"/>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28"/>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28"/>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28"/>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28"/>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28"/>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28"/>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28"/>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28"/>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28"/>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28"/>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28"/>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28"/>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28"/>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28"/>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28"/>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28"/>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28"/>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28"/>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28"/>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28"/>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28"/>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28"/>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28"/>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28"/>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28"/>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28"/>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28"/>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28"/>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28"/>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28"/>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28"/>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28"/>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28"/>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28"/>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28"/>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28"/>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28"/>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28"/>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28"/>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28"/>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28"/>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28"/>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28"/>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28"/>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28"/>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28"/>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28"/>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28"/>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28"/>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28"/>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28"/>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28"/>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28"/>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28"/>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28"/>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28"/>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28"/>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28"/>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28"/>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28"/>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28"/>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28"/>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28"/>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28"/>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28"/>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28"/>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28"/>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28"/>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28"/>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28"/>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28"/>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28"/>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28"/>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28"/>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28"/>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28"/>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28"/>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28"/>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28"/>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28"/>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28"/>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28"/>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28"/>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28"/>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28"/>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28"/>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28"/>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28"/>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28"/>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28"/>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28"/>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28"/>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28"/>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28"/>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28"/>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28"/>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28"/>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28"/>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28"/>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28"/>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28"/>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28"/>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28"/>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28"/>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28"/>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28"/>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28"/>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28"/>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28"/>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28"/>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28"/>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28"/>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28"/>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28"/>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28"/>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28"/>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28"/>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28"/>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28"/>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28"/>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28"/>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28"/>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28"/>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28"/>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28"/>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28"/>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28"/>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28"/>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28"/>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28"/>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28"/>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28"/>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28"/>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28"/>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28"/>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28"/>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28"/>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28"/>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28"/>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28"/>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28"/>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28"/>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28"/>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28"/>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28"/>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28"/>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28"/>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28"/>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28"/>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28"/>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28"/>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28"/>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28"/>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28"/>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28"/>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28"/>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28"/>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28"/>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28"/>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28"/>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28"/>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28"/>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28"/>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28"/>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28"/>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28"/>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28"/>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28"/>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28"/>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28"/>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28"/>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28"/>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28"/>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28"/>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28"/>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28"/>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28"/>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28"/>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28"/>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28"/>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28"/>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28"/>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28"/>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28"/>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28"/>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28"/>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28"/>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28"/>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28"/>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28"/>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28"/>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28"/>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28"/>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28"/>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28"/>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28"/>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28"/>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28"/>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28"/>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28"/>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28"/>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28"/>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28"/>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28"/>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28"/>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28"/>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28"/>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28"/>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28"/>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28"/>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28"/>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28"/>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28"/>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28"/>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28"/>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28"/>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28"/>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28"/>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28"/>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28"/>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28"/>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28"/>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28"/>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28"/>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28"/>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28"/>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28"/>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28"/>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28"/>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28"/>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28"/>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28"/>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28"/>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28"/>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28"/>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28"/>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28"/>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28"/>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28"/>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28"/>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28"/>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28"/>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28"/>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28"/>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28"/>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28"/>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28"/>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28"/>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28"/>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28"/>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28"/>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28"/>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28"/>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28"/>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28"/>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28"/>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28"/>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28"/>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28"/>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28"/>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28"/>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28"/>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28"/>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28"/>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28"/>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28"/>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28"/>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28"/>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28"/>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28"/>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28"/>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28"/>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28"/>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28"/>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28"/>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28"/>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28"/>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28"/>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28"/>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28"/>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28"/>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28"/>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28"/>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28"/>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28"/>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28"/>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28"/>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28"/>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28"/>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28"/>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28"/>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28"/>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28"/>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28"/>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28"/>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28"/>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28"/>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28"/>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28"/>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28"/>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28"/>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28"/>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28"/>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28"/>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28"/>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28"/>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28"/>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28"/>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28"/>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28"/>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28"/>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28"/>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28"/>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28"/>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28"/>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28"/>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28"/>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28"/>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28"/>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28"/>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28"/>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28"/>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28"/>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28"/>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28"/>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28"/>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28"/>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28"/>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28"/>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28"/>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28"/>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28"/>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28"/>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28"/>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28"/>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28"/>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28"/>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28"/>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28"/>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28"/>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28"/>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28"/>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28"/>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28"/>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28"/>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28"/>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28"/>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28"/>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28"/>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28"/>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28"/>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28"/>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28"/>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28"/>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28"/>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28"/>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28"/>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28"/>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28"/>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28"/>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28"/>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28"/>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28"/>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28"/>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28"/>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28"/>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28"/>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28"/>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28"/>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28"/>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28"/>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28"/>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28"/>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28"/>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28"/>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28"/>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28"/>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28"/>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28"/>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28"/>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28"/>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28"/>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28"/>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28"/>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28"/>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28"/>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28"/>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28"/>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28"/>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28"/>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28"/>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28"/>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28"/>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28"/>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28"/>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28"/>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28"/>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28"/>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28"/>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28"/>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28"/>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28"/>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28"/>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28"/>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28"/>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28"/>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28"/>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28"/>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28"/>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28"/>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28"/>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28"/>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28"/>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28"/>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28"/>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28"/>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28"/>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28"/>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28"/>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28"/>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28"/>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28"/>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28"/>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28"/>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28"/>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28"/>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28"/>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28"/>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28"/>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28"/>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28"/>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28"/>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28"/>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28"/>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28"/>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28"/>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28"/>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28"/>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28"/>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28"/>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28"/>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28"/>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28"/>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28"/>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28"/>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28"/>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28"/>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28"/>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28"/>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28"/>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28"/>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28"/>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28"/>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28"/>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28"/>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28"/>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28"/>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28"/>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28"/>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28"/>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28"/>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28"/>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28"/>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28"/>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28"/>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28"/>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28"/>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28"/>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28"/>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28"/>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28"/>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28"/>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28"/>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28"/>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28"/>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28"/>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28"/>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28"/>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28"/>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28"/>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28"/>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28"/>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28"/>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28"/>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28"/>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28"/>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28"/>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28"/>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28"/>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28"/>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28"/>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28"/>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28"/>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28"/>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28"/>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28"/>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28"/>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28"/>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28"/>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28"/>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28"/>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28"/>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28"/>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28"/>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28"/>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28"/>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28"/>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28"/>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28"/>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28"/>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28"/>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28"/>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28"/>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28"/>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28"/>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28"/>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28"/>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28"/>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28"/>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28"/>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28"/>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28"/>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28"/>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28"/>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28"/>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28"/>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28"/>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28"/>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28"/>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28"/>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28"/>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28"/>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28"/>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28"/>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28"/>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28"/>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28"/>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28"/>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28"/>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28"/>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28"/>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28"/>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28"/>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28"/>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28"/>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28"/>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28"/>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28"/>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28"/>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28"/>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28"/>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28"/>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28"/>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28"/>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28"/>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28"/>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28"/>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28"/>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28"/>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28"/>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28"/>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28"/>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28"/>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28"/>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28"/>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28"/>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28"/>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28"/>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28"/>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28"/>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28"/>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28"/>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28"/>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28"/>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28"/>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28"/>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28"/>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28"/>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28"/>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28"/>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28"/>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28"/>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28"/>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28"/>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28"/>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28"/>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28"/>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28"/>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28"/>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28"/>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28"/>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28"/>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28"/>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28"/>
      <c r="K994" s="40"/>
      <c r="L994" s="40"/>
      <c r="M994" s="40"/>
      <c r="N994" s="40"/>
      <c r="O994" s="40"/>
      <c r="P994" s="40"/>
      <c r="Q994" s="40"/>
      <c r="R994" s="40"/>
      <c r="S994" s="40"/>
      <c r="T994" s="40"/>
      <c r="U994" s="40"/>
      <c r="V994" s="40"/>
      <c r="W994" s="40"/>
      <c r="X994" s="40"/>
      <c r="Y994" s="40"/>
      <c r="Z994" s="40"/>
    </row>
  </sheetData>
  <mergeCells count="6">
    <mergeCell ref="B3:J3"/>
    <mergeCell ref="K3:O3"/>
    <mergeCell ref="B19:J19"/>
    <mergeCell ref="K19:O19"/>
    <mergeCell ref="B28:J28"/>
    <mergeCell ref="K28:O28"/>
  </mergeCells>
  <dataValidations>
    <dataValidation type="list" allowBlank="1" showErrorMessage="1" sqref="D4:D18 D20:D27 D29:D36">
      <formula1>"GET,POST,PATCH,DELETE,PUT"</formula1>
    </dataValidation>
    <dataValidation type="list" allowBlank="1" showErrorMessage="1" sqref="L4:M18 L20:M27 L29:M36">
      <formula1>"High,Medium,Low,N/A"</formula1>
    </dataValidation>
    <dataValidation type="list" allowBlank="1" showErrorMessage="1" sqref="K4:K18 K20:K27 K29:K36">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26.88"/>
    <col customWidth="1" min="3" max="3" width="27.63"/>
    <col customWidth="1" min="4" max="4" width="19.38"/>
    <col customWidth="1" min="5" max="5" width="29.63"/>
    <col customWidth="1" min="6" max="6" width="28.25"/>
    <col customWidth="1" min="7" max="7" width="28.0"/>
    <col customWidth="1" min="8" max="8" width="30.88"/>
    <col customWidth="1" min="9" max="9" width="32.5"/>
    <col customWidth="1" min="10" max="10" width="25.0"/>
    <col customWidth="1" min="11" max="11" width="22.88"/>
    <col customWidth="1" min="12" max="12" width="17.38"/>
    <col customWidth="1" min="13" max="13" width="16.25"/>
    <col customWidth="1" min="14" max="14" width="18.63"/>
    <col customWidth="1" min="15" max="15" width="19.38"/>
  </cols>
  <sheetData>
    <row r="1">
      <c r="A1" s="22" t="s">
        <v>0</v>
      </c>
      <c r="B1" s="22" t="s">
        <v>13</v>
      </c>
      <c r="C1" s="25"/>
      <c r="D1" s="26"/>
      <c r="E1" s="28"/>
      <c r="F1" s="28"/>
      <c r="G1" s="28"/>
      <c r="H1" s="28"/>
      <c r="I1" s="28"/>
      <c r="J1" s="28"/>
      <c r="K1" s="28"/>
      <c r="L1" s="28"/>
      <c r="M1" s="28"/>
      <c r="N1" s="28"/>
      <c r="O1" s="28"/>
    </row>
    <row r="2">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c r="A3" s="48"/>
      <c r="B3" s="44" t="s">
        <v>139</v>
      </c>
      <c r="C3" s="23"/>
      <c r="D3" s="23"/>
      <c r="E3" s="23"/>
      <c r="F3" s="23"/>
      <c r="G3" s="23"/>
      <c r="H3" s="23"/>
      <c r="I3" s="23"/>
      <c r="J3" s="24"/>
      <c r="K3" s="49"/>
      <c r="L3" s="23"/>
      <c r="M3" s="23"/>
      <c r="N3" s="23"/>
      <c r="O3" s="24"/>
    </row>
    <row r="4">
      <c r="A4" s="38" t="s">
        <v>148</v>
      </c>
      <c r="B4" s="38" t="s">
        <v>51</v>
      </c>
      <c r="C4" s="39" t="s">
        <v>150</v>
      </c>
      <c r="D4" s="8" t="s">
        <v>84</v>
      </c>
      <c r="E4" s="8" t="s">
        <v>155</v>
      </c>
      <c r="F4" s="39"/>
      <c r="G4" s="39" t="s">
        <v>157</v>
      </c>
      <c r="H4" s="39" t="s">
        <v>88</v>
      </c>
      <c r="I4" s="39" t="s">
        <v>159</v>
      </c>
      <c r="J4" s="39" t="s">
        <v>160</v>
      </c>
      <c r="K4" s="38" t="s">
        <v>91</v>
      </c>
      <c r="L4" s="8" t="s">
        <v>92</v>
      </c>
      <c r="M4" s="8" t="s">
        <v>92</v>
      </c>
      <c r="N4" s="42"/>
      <c r="O4" s="39" t="s">
        <v>93</v>
      </c>
    </row>
    <row r="5">
      <c r="A5" s="38" t="s">
        <v>170</v>
      </c>
      <c r="B5" s="38" t="s">
        <v>51</v>
      </c>
      <c r="C5" s="39" t="s">
        <v>95</v>
      </c>
      <c r="D5" s="8" t="s">
        <v>84</v>
      </c>
      <c r="E5" s="8" t="s">
        <v>155</v>
      </c>
      <c r="F5" s="39"/>
      <c r="G5" s="39" t="s">
        <v>157</v>
      </c>
      <c r="H5" s="39" t="s">
        <v>88</v>
      </c>
      <c r="I5" s="39" t="s">
        <v>177</v>
      </c>
      <c r="J5" s="39" t="s">
        <v>178</v>
      </c>
      <c r="K5" s="38" t="s">
        <v>91</v>
      </c>
      <c r="L5" s="8" t="s">
        <v>105</v>
      </c>
      <c r="M5" s="8" t="s">
        <v>92</v>
      </c>
      <c r="N5" s="42"/>
      <c r="O5" s="39" t="s">
        <v>100</v>
      </c>
    </row>
    <row r="6">
      <c r="A6" s="38" t="s">
        <v>184</v>
      </c>
      <c r="B6" s="38" t="s">
        <v>51</v>
      </c>
      <c r="C6" s="39" t="s">
        <v>185</v>
      </c>
      <c r="D6" s="8" t="s">
        <v>84</v>
      </c>
      <c r="E6" s="8" t="s">
        <v>155</v>
      </c>
      <c r="F6" s="39"/>
      <c r="G6" s="39" t="s">
        <v>157</v>
      </c>
      <c r="H6" s="39" t="s">
        <v>88</v>
      </c>
      <c r="I6" s="39" t="s">
        <v>186</v>
      </c>
      <c r="J6" s="39" t="s">
        <v>144</v>
      </c>
      <c r="K6" s="38" t="s">
        <v>91</v>
      </c>
      <c r="L6" s="8" t="s">
        <v>105</v>
      </c>
      <c r="M6" s="8" t="s">
        <v>105</v>
      </c>
      <c r="N6" s="42"/>
      <c r="O6" s="39" t="s">
        <v>187</v>
      </c>
    </row>
    <row r="7">
      <c r="A7" s="38" t="s">
        <v>188</v>
      </c>
      <c r="B7" s="38" t="s">
        <v>51</v>
      </c>
      <c r="C7" s="39" t="s">
        <v>189</v>
      </c>
      <c r="D7" s="8" t="s">
        <v>84</v>
      </c>
      <c r="E7" s="8" t="s">
        <v>155</v>
      </c>
      <c r="F7" s="39"/>
      <c r="G7" s="39" t="s">
        <v>192</v>
      </c>
      <c r="H7" s="39" t="s">
        <v>88</v>
      </c>
      <c r="I7" s="39" t="s">
        <v>194</v>
      </c>
      <c r="J7" s="39" t="s">
        <v>144</v>
      </c>
      <c r="K7" s="38" t="s">
        <v>91</v>
      </c>
      <c r="L7" s="8" t="s">
        <v>105</v>
      </c>
      <c r="M7" s="8" t="s">
        <v>105</v>
      </c>
      <c r="N7" s="42"/>
      <c r="O7" s="39" t="s">
        <v>198</v>
      </c>
    </row>
    <row r="8">
      <c r="A8" s="38" t="s">
        <v>199</v>
      </c>
      <c r="B8" s="38" t="s">
        <v>51</v>
      </c>
      <c r="C8" s="39" t="s">
        <v>201</v>
      </c>
      <c r="D8" s="8" t="s">
        <v>84</v>
      </c>
      <c r="E8" s="8" t="s">
        <v>155</v>
      </c>
      <c r="F8" s="39"/>
      <c r="G8" s="39" t="s">
        <v>203</v>
      </c>
      <c r="H8" s="39" t="s">
        <v>88</v>
      </c>
      <c r="I8" s="39" t="s">
        <v>141</v>
      </c>
      <c r="J8" s="39" t="s">
        <v>205</v>
      </c>
      <c r="K8" s="38" t="s">
        <v>91</v>
      </c>
      <c r="L8" s="8" t="s">
        <v>92</v>
      </c>
      <c r="M8" s="8" t="s">
        <v>92</v>
      </c>
      <c r="N8" s="42"/>
      <c r="O8" s="39" t="s">
        <v>206</v>
      </c>
    </row>
    <row r="9">
      <c r="A9" s="38" t="s">
        <v>207</v>
      </c>
      <c r="B9" s="38" t="s">
        <v>51</v>
      </c>
      <c r="C9" s="39" t="s">
        <v>209</v>
      </c>
      <c r="D9" s="8" t="s">
        <v>84</v>
      </c>
      <c r="E9" s="8" t="s">
        <v>155</v>
      </c>
      <c r="F9" s="39"/>
      <c r="G9" s="39" t="s">
        <v>212</v>
      </c>
      <c r="H9" s="39" t="s">
        <v>88</v>
      </c>
      <c r="I9" s="39" t="s">
        <v>213</v>
      </c>
      <c r="J9" s="39"/>
      <c r="K9" s="38" t="s">
        <v>172</v>
      </c>
      <c r="L9" s="8" t="s">
        <v>92</v>
      </c>
      <c r="M9" s="8" t="s">
        <v>92</v>
      </c>
      <c r="N9" s="42"/>
      <c r="O9" s="39" t="s">
        <v>214</v>
      </c>
    </row>
    <row r="10">
      <c r="A10" s="38" t="s">
        <v>216</v>
      </c>
      <c r="B10" s="38" t="s">
        <v>51</v>
      </c>
      <c r="C10" s="39" t="s">
        <v>218</v>
      </c>
      <c r="D10" s="8" t="s">
        <v>219</v>
      </c>
      <c r="E10" s="8" t="s">
        <v>155</v>
      </c>
      <c r="F10" s="39"/>
      <c r="G10" s="39" t="s">
        <v>157</v>
      </c>
      <c r="H10" s="39" t="s">
        <v>223</v>
      </c>
      <c r="I10" s="39" t="s">
        <v>224</v>
      </c>
      <c r="J10" s="39" t="s">
        <v>225</v>
      </c>
      <c r="K10" s="38" t="s">
        <v>91</v>
      </c>
      <c r="L10" s="8" t="s">
        <v>105</v>
      </c>
      <c r="M10" s="8" t="s">
        <v>105</v>
      </c>
      <c r="N10" s="42"/>
      <c r="O10" s="39" t="s">
        <v>226</v>
      </c>
    </row>
    <row r="11">
      <c r="A11" s="38" t="s">
        <v>229</v>
      </c>
      <c r="B11" s="38" t="s">
        <v>51</v>
      </c>
      <c r="C11" s="39" t="s">
        <v>230</v>
      </c>
      <c r="D11" s="8" t="s">
        <v>84</v>
      </c>
      <c r="E11" s="8" t="s">
        <v>155</v>
      </c>
      <c r="F11" s="39"/>
      <c r="G11" s="39" t="s">
        <v>233</v>
      </c>
      <c r="H11" s="39" t="s">
        <v>88</v>
      </c>
      <c r="I11" s="39" t="s">
        <v>141</v>
      </c>
      <c r="J11" s="39"/>
      <c r="K11" s="38" t="s">
        <v>172</v>
      </c>
      <c r="L11" s="8" t="s">
        <v>92</v>
      </c>
      <c r="M11" s="8" t="s">
        <v>92</v>
      </c>
      <c r="N11" s="42"/>
      <c r="O11" s="39" t="s">
        <v>151</v>
      </c>
    </row>
    <row r="12">
      <c r="A12" s="38" t="s">
        <v>238</v>
      </c>
      <c r="B12" s="38" t="s">
        <v>51</v>
      </c>
      <c r="C12" s="39" t="s">
        <v>239</v>
      </c>
      <c r="D12" s="8" t="s">
        <v>84</v>
      </c>
      <c r="E12" s="8" t="s">
        <v>155</v>
      </c>
      <c r="F12" s="39"/>
      <c r="G12" s="39" t="s">
        <v>242</v>
      </c>
      <c r="H12" s="39" t="s">
        <v>88</v>
      </c>
      <c r="I12" s="39" t="s">
        <v>141</v>
      </c>
      <c r="J12" s="39"/>
      <c r="K12" s="38" t="s">
        <v>172</v>
      </c>
      <c r="L12" s="8" t="s">
        <v>92</v>
      </c>
      <c r="M12" s="8" t="s">
        <v>92</v>
      </c>
      <c r="N12" s="42"/>
      <c r="O12" s="39" t="s">
        <v>249</v>
      </c>
    </row>
    <row r="13">
      <c r="A13" s="38" t="s">
        <v>250</v>
      </c>
      <c r="B13" s="38" t="s">
        <v>51</v>
      </c>
      <c r="C13" s="39" t="s">
        <v>251</v>
      </c>
      <c r="D13" s="8" t="s">
        <v>84</v>
      </c>
      <c r="E13" s="8" t="s">
        <v>155</v>
      </c>
      <c r="F13" s="39"/>
      <c r="G13" s="39" t="s">
        <v>256</v>
      </c>
      <c r="H13" s="39" t="s">
        <v>88</v>
      </c>
      <c r="I13" s="39" t="s">
        <v>259</v>
      </c>
      <c r="J13" s="39"/>
      <c r="K13" s="38" t="s">
        <v>172</v>
      </c>
      <c r="L13" s="8" t="s">
        <v>92</v>
      </c>
      <c r="M13" s="8" t="s">
        <v>92</v>
      </c>
      <c r="N13" s="42"/>
      <c r="O13" s="39" t="s">
        <v>263</v>
      </c>
    </row>
    <row r="14">
      <c r="A14" s="38" t="s">
        <v>264</v>
      </c>
      <c r="B14" s="38" t="s">
        <v>51</v>
      </c>
      <c r="C14" s="39" t="s">
        <v>266</v>
      </c>
      <c r="D14" s="8" t="s">
        <v>84</v>
      </c>
      <c r="E14" s="8" t="s">
        <v>155</v>
      </c>
      <c r="F14" s="39"/>
      <c r="G14" s="39" t="s">
        <v>269</v>
      </c>
      <c r="H14" s="39" t="s">
        <v>88</v>
      </c>
      <c r="I14" s="39" t="s">
        <v>272</v>
      </c>
      <c r="J14" s="39" t="s">
        <v>144</v>
      </c>
      <c r="K14" s="38" t="s">
        <v>91</v>
      </c>
      <c r="L14" s="8" t="s">
        <v>121</v>
      </c>
      <c r="M14" s="8" t="s">
        <v>121</v>
      </c>
      <c r="N14" s="42"/>
      <c r="O14" s="39" t="s">
        <v>278</v>
      </c>
    </row>
    <row r="15">
      <c r="A15" s="38" t="s">
        <v>279</v>
      </c>
      <c r="B15" s="38" t="s">
        <v>51</v>
      </c>
      <c r="C15" s="39" t="s">
        <v>280</v>
      </c>
      <c r="D15" s="8" t="s">
        <v>84</v>
      </c>
      <c r="E15" s="8" t="s">
        <v>155</v>
      </c>
      <c r="F15" s="39"/>
      <c r="G15" s="39" t="s">
        <v>282</v>
      </c>
      <c r="H15" s="39" t="s">
        <v>88</v>
      </c>
      <c r="I15" s="39" t="s">
        <v>285</v>
      </c>
      <c r="J15" s="39" t="s">
        <v>144</v>
      </c>
      <c r="K15" s="38" t="s">
        <v>91</v>
      </c>
      <c r="L15" s="8" t="s">
        <v>92</v>
      </c>
      <c r="M15" s="8" t="s">
        <v>92</v>
      </c>
      <c r="N15" s="42"/>
      <c r="O15" s="39" t="s">
        <v>268</v>
      </c>
    </row>
    <row r="16">
      <c r="A16" s="38" t="s">
        <v>289</v>
      </c>
      <c r="B16" s="38" t="s">
        <v>51</v>
      </c>
      <c r="C16" s="39" t="s">
        <v>290</v>
      </c>
      <c r="D16" s="8" t="s">
        <v>84</v>
      </c>
      <c r="E16" s="8" t="s">
        <v>155</v>
      </c>
      <c r="F16" s="39"/>
      <c r="G16" s="39" t="s">
        <v>157</v>
      </c>
      <c r="H16" s="39" t="s">
        <v>88</v>
      </c>
      <c r="I16" s="39" t="s">
        <v>291</v>
      </c>
      <c r="J16" s="39" t="s">
        <v>144</v>
      </c>
      <c r="K16" s="38" t="s">
        <v>91</v>
      </c>
      <c r="L16" s="8" t="s">
        <v>105</v>
      </c>
      <c r="M16" s="8" t="s">
        <v>105</v>
      </c>
      <c r="N16" s="42"/>
      <c r="O16" s="39" t="s">
        <v>281</v>
      </c>
    </row>
    <row r="17">
      <c r="A17" s="38" t="s">
        <v>293</v>
      </c>
      <c r="B17" s="38" t="s">
        <v>51</v>
      </c>
      <c r="C17" s="39" t="s">
        <v>294</v>
      </c>
      <c r="D17" s="8" t="s">
        <v>84</v>
      </c>
      <c r="E17" s="8" t="s">
        <v>155</v>
      </c>
      <c r="F17" s="39"/>
      <c r="G17" s="39" t="s">
        <v>295</v>
      </c>
      <c r="H17" s="39" t="s">
        <v>88</v>
      </c>
      <c r="I17" s="39" t="s">
        <v>296</v>
      </c>
      <c r="J17" s="39"/>
      <c r="K17" s="38" t="s">
        <v>172</v>
      </c>
      <c r="L17" s="8" t="s">
        <v>105</v>
      </c>
      <c r="M17" s="8" t="s">
        <v>105</v>
      </c>
      <c r="N17" s="42"/>
      <c r="O17" s="39" t="s">
        <v>299</v>
      </c>
    </row>
    <row r="18">
      <c r="A18" s="48"/>
      <c r="B18" s="44" t="s">
        <v>301</v>
      </c>
      <c r="C18" s="23"/>
      <c r="D18" s="23"/>
      <c r="E18" s="23"/>
      <c r="F18" s="23"/>
      <c r="G18" s="23"/>
      <c r="H18" s="23"/>
      <c r="I18" s="23"/>
      <c r="J18" s="24"/>
      <c r="K18" s="49"/>
      <c r="L18" s="23"/>
      <c r="M18" s="23"/>
      <c r="N18" s="23"/>
      <c r="O18" s="24"/>
    </row>
    <row r="19">
      <c r="A19" s="38" t="s">
        <v>304</v>
      </c>
      <c r="B19" s="38" t="s">
        <v>51</v>
      </c>
      <c r="C19" s="39" t="s">
        <v>310</v>
      </c>
      <c r="D19" s="8" t="s">
        <v>219</v>
      </c>
      <c r="E19" s="8" t="s">
        <v>313</v>
      </c>
      <c r="F19" s="39" t="s">
        <v>314</v>
      </c>
      <c r="G19" s="39" t="s">
        <v>315</v>
      </c>
      <c r="H19" s="39" t="s">
        <v>317</v>
      </c>
      <c r="I19" s="39" t="s">
        <v>319</v>
      </c>
      <c r="J19" s="39" t="s">
        <v>320</v>
      </c>
      <c r="K19" s="38" t="s">
        <v>91</v>
      </c>
      <c r="L19" s="8" t="s">
        <v>92</v>
      </c>
      <c r="M19" s="8" t="s">
        <v>92</v>
      </c>
      <c r="N19" s="42"/>
      <c r="O19" s="39" t="s">
        <v>93</v>
      </c>
    </row>
    <row r="20">
      <c r="A20" s="38" t="s">
        <v>321</v>
      </c>
      <c r="B20" s="38" t="s">
        <v>51</v>
      </c>
      <c r="C20" s="39" t="s">
        <v>323</v>
      </c>
      <c r="D20" s="8" t="s">
        <v>219</v>
      </c>
      <c r="E20" s="8" t="s">
        <v>313</v>
      </c>
      <c r="F20" s="39" t="s">
        <v>325</v>
      </c>
      <c r="G20" s="39" t="s">
        <v>326</v>
      </c>
      <c r="H20" s="39" t="s">
        <v>223</v>
      </c>
      <c r="I20" s="39" t="s">
        <v>327</v>
      </c>
      <c r="J20" s="39" t="s">
        <v>328</v>
      </c>
      <c r="K20" s="38" t="s">
        <v>91</v>
      </c>
      <c r="L20" s="8" t="s">
        <v>92</v>
      </c>
      <c r="M20" s="8" t="s">
        <v>92</v>
      </c>
      <c r="N20" s="42"/>
      <c r="O20" s="39" t="s">
        <v>330</v>
      </c>
    </row>
    <row r="21">
      <c r="A21" s="38" t="s">
        <v>331</v>
      </c>
      <c r="B21" s="38" t="s">
        <v>51</v>
      </c>
      <c r="C21" s="39" t="s">
        <v>332</v>
      </c>
      <c r="D21" s="8" t="s">
        <v>219</v>
      </c>
      <c r="E21" s="8" t="s">
        <v>313</v>
      </c>
      <c r="F21" s="39" t="s">
        <v>333</v>
      </c>
      <c r="G21" s="39" t="s">
        <v>326</v>
      </c>
      <c r="H21" s="39" t="s">
        <v>223</v>
      </c>
      <c r="I21" s="39" t="s">
        <v>335</v>
      </c>
      <c r="J21" s="39" t="s">
        <v>336</v>
      </c>
      <c r="K21" s="38" t="s">
        <v>91</v>
      </c>
      <c r="L21" s="8" t="s">
        <v>92</v>
      </c>
      <c r="M21" s="8" t="s">
        <v>92</v>
      </c>
      <c r="N21" s="42"/>
      <c r="O21" s="39" t="s">
        <v>337</v>
      </c>
    </row>
    <row r="22">
      <c r="A22" s="38" t="s">
        <v>338</v>
      </c>
      <c r="B22" s="38" t="s">
        <v>51</v>
      </c>
      <c r="C22" s="39" t="s">
        <v>339</v>
      </c>
      <c r="D22" s="8" t="s">
        <v>219</v>
      </c>
      <c r="E22" s="8" t="s">
        <v>313</v>
      </c>
      <c r="F22" s="39" t="s">
        <v>333</v>
      </c>
      <c r="G22" s="39" t="s">
        <v>326</v>
      </c>
      <c r="H22" s="39" t="s">
        <v>223</v>
      </c>
      <c r="I22" s="39" t="s">
        <v>343</v>
      </c>
      <c r="J22" s="39" t="s">
        <v>144</v>
      </c>
      <c r="K22" s="38" t="s">
        <v>91</v>
      </c>
      <c r="L22" s="8" t="s">
        <v>105</v>
      </c>
      <c r="M22" s="8" t="s">
        <v>92</v>
      </c>
      <c r="N22" s="42"/>
      <c r="O22" s="39" t="s">
        <v>100</v>
      </c>
    </row>
    <row r="23">
      <c r="A23" s="38" t="s">
        <v>348</v>
      </c>
      <c r="B23" s="38" t="s">
        <v>51</v>
      </c>
      <c r="C23" s="39" t="s">
        <v>349</v>
      </c>
      <c r="D23" s="8" t="s">
        <v>219</v>
      </c>
      <c r="E23" s="8" t="s">
        <v>313</v>
      </c>
      <c r="F23" s="39" t="s">
        <v>350</v>
      </c>
      <c r="G23" s="39" t="s">
        <v>157</v>
      </c>
      <c r="H23" s="39" t="s">
        <v>351</v>
      </c>
      <c r="I23" s="39" t="s">
        <v>352</v>
      </c>
      <c r="J23" s="39" t="s">
        <v>353</v>
      </c>
      <c r="K23" s="38" t="s">
        <v>91</v>
      </c>
      <c r="L23" s="8" t="s">
        <v>92</v>
      </c>
      <c r="M23" s="8" t="s">
        <v>92</v>
      </c>
      <c r="N23" s="42"/>
      <c r="O23" s="39" t="s">
        <v>355</v>
      </c>
    </row>
    <row r="24">
      <c r="A24" s="38" t="s">
        <v>357</v>
      </c>
      <c r="B24" s="38" t="s">
        <v>51</v>
      </c>
      <c r="C24" s="39" t="s">
        <v>358</v>
      </c>
      <c r="D24" s="8" t="s">
        <v>219</v>
      </c>
      <c r="E24" s="8" t="s">
        <v>313</v>
      </c>
      <c r="F24" s="39" t="s">
        <v>359</v>
      </c>
      <c r="G24" s="39" t="s">
        <v>157</v>
      </c>
      <c r="H24" s="39" t="s">
        <v>360</v>
      </c>
      <c r="I24" s="39" t="s">
        <v>352</v>
      </c>
      <c r="J24" s="39" t="s">
        <v>144</v>
      </c>
      <c r="K24" s="38" t="s">
        <v>91</v>
      </c>
      <c r="L24" s="8" t="s">
        <v>92</v>
      </c>
      <c r="M24" s="8" t="s">
        <v>92</v>
      </c>
      <c r="N24" s="42"/>
      <c r="O24" s="39" t="s">
        <v>355</v>
      </c>
    </row>
    <row r="25">
      <c r="A25" s="38" t="s">
        <v>361</v>
      </c>
      <c r="B25" s="38" t="s">
        <v>51</v>
      </c>
      <c r="C25" s="39" t="s">
        <v>362</v>
      </c>
      <c r="D25" s="8" t="s">
        <v>219</v>
      </c>
      <c r="E25" s="8" t="s">
        <v>313</v>
      </c>
      <c r="F25" s="39" t="s">
        <v>364</v>
      </c>
      <c r="G25" s="39" t="s">
        <v>326</v>
      </c>
      <c r="H25" s="39" t="s">
        <v>223</v>
      </c>
      <c r="I25" s="39" t="s">
        <v>352</v>
      </c>
      <c r="J25" s="39" t="s">
        <v>366</v>
      </c>
      <c r="K25" s="38" t="s">
        <v>91</v>
      </c>
      <c r="L25" s="8" t="s">
        <v>105</v>
      </c>
      <c r="M25" s="8" t="s">
        <v>105</v>
      </c>
      <c r="N25" s="42"/>
      <c r="O25" s="39" t="s">
        <v>367</v>
      </c>
    </row>
    <row r="26">
      <c r="A26" s="38" t="s">
        <v>368</v>
      </c>
      <c r="B26" s="38" t="s">
        <v>51</v>
      </c>
      <c r="C26" s="39" t="s">
        <v>369</v>
      </c>
      <c r="D26" s="8" t="s">
        <v>219</v>
      </c>
      <c r="E26" s="8" t="s">
        <v>313</v>
      </c>
      <c r="F26" s="39" t="s">
        <v>371</v>
      </c>
      <c r="G26" s="39" t="s">
        <v>157</v>
      </c>
      <c r="H26" s="39" t="s">
        <v>223</v>
      </c>
      <c r="I26" s="39" t="s">
        <v>373</v>
      </c>
      <c r="J26" s="39" t="s">
        <v>144</v>
      </c>
      <c r="K26" s="38" t="s">
        <v>91</v>
      </c>
      <c r="L26" s="8" t="s">
        <v>105</v>
      </c>
      <c r="M26" s="8" t="s">
        <v>105</v>
      </c>
      <c r="N26" s="42"/>
      <c r="O26" s="39" t="s">
        <v>374</v>
      </c>
    </row>
    <row r="27">
      <c r="A27" s="38" t="s">
        <v>375</v>
      </c>
      <c r="B27" s="38" t="s">
        <v>51</v>
      </c>
      <c r="C27" s="39" t="s">
        <v>377</v>
      </c>
      <c r="D27" s="8" t="s">
        <v>219</v>
      </c>
      <c r="E27" s="8" t="s">
        <v>313</v>
      </c>
      <c r="F27" s="39" t="s">
        <v>378</v>
      </c>
      <c r="G27" s="39" t="s">
        <v>326</v>
      </c>
      <c r="H27" s="39" t="s">
        <v>223</v>
      </c>
      <c r="I27" s="39" t="s">
        <v>373</v>
      </c>
      <c r="J27" s="39" t="s">
        <v>144</v>
      </c>
      <c r="K27" s="38" t="s">
        <v>91</v>
      </c>
      <c r="L27" s="8" t="s">
        <v>105</v>
      </c>
      <c r="M27" s="8" t="s">
        <v>105</v>
      </c>
      <c r="N27" s="42"/>
      <c r="O27" s="39" t="s">
        <v>379</v>
      </c>
    </row>
    <row r="28">
      <c r="A28" s="38" t="s">
        <v>380</v>
      </c>
      <c r="B28" s="38" t="s">
        <v>51</v>
      </c>
      <c r="C28" s="39" t="s">
        <v>382</v>
      </c>
      <c r="D28" s="8" t="s">
        <v>219</v>
      </c>
      <c r="E28" s="8" t="s">
        <v>313</v>
      </c>
      <c r="F28" s="39" t="s">
        <v>384</v>
      </c>
      <c r="G28" s="39" t="s">
        <v>326</v>
      </c>
      <c r="H28" s="39" t="s">
        <v>223</v>
      </c>
      <c r="I28" s="39" t="s">
        <v>385</v>
      </c>
      <c r="J28" s="39" t="s">
        <v>386</v>
      </c>
      <c r="K28" s="38" t="s">
        <v>91</v>
      </c>
      <c r="L28" s="8" t="s">
        <v>121</v>
      </c>
      <c r="M28" s="8" t="s">
        <v>121</v>
      </c>
      <c r="N28" s="42"/>
      <c r="O28" s="39" t="s">
        <v>387</v>
      </c>
    </row>
    <row r="29">
      <c r="A29" s="38" t="s">
        <v>388</v>
      </c>
      <c r="B29" s="38" t="s">
        <v>51</v>
      </c>
      <c r="C29" s="39" t="s">
        <v>389</v>
      </c>
      <c r="D29" s="8" t="s">
        <v>219</v>
      </c>
      <c r="E29" s="8" t="s">
        <v>313</v>
      </c>
      <c r="F29" s="39" t="s">
        <v>333</v>
      </c>
      <c r="G29" s="39" t="s">
        <v>203</v>
      </c>
      <c r="H29" s="39" t="s">
        <v>223</v>
      </c>
      <c r="I29" s="39" t="s">
        <v>392</v>
      </c>
      <c r="J29" s="39" t="s">
        <v>142</v>
      </c>
      <c r="K29" s="38" t="s">
        <v>91</v>
      </c>
      <c r="L29" s="8" t="s">
        <v>92</v>
      </c>
      <c r="M29" s="8" t="s">
        <v>92</v>
      </c>
      <c r="N29" s="42"/>
      <c r="O29" s="39" t="s">
        <v>145</v>
      </c>
    </row>
    <row r="30">
      <c r="A30" s="38" t="s">
        <v>393</v>
      </c>
      <c r="B30" s="38" t="s">
        <v>51</v>
      </c>
      <c r="C30" s="39" t="s">
        <v>394</v>
      </c>
      <c r="D30" s="8" t="s">
        <v>219</v>
      </c>
      <c r="E30" s="8" t="s">
        <v>313</v>
      </c>
      <c r="F30" s="39" t="s">
        <v>333</v>
      </c>
      <c r="G30" s="39" t="s">
        <v>212</v>
      </c>
      <c r="H30" s="39" t="s">
        <v>223</v>
      </c>
      <c r="I30" s="39" t="s">
        <v>397</v>
      </c>
      <c r="J30" s="39"/>
      <c r="K30" s="38" t="s">
        <v>172</v>
      </c>
      <c r="L30" s="8" t="s">
        <v>92</v>
      </c>
      <c r="M30" s="8" t="s">
        <v>92</v>
      </c>
      <c r="N30" s="42"/>
      <c r="O30" s="39" t="s">
        <v>402</v>
      </c>
    </row>
    <row r="31">
      <c r="A31" s="38" t="s">
        <v>403</v>
      </c>
      <c r="B31" s="38" t="s">
        <v>51</v>
      </c>
      <c r="C31" s="39" t="s">
        <v>404</v>
      </c>
      <c r="D31" s="8" t="s">
        <v>219</v>
      </c>
      <c r="E31" s="8" t="s">
        <v>313</v>
      </c>
      <c r="F31" s="39" t="s">
        <v>333</v>
      </c>
      <c r="G31" s="39" t="s">
        <v>233</v>
      </c>
      <c r="H31" s="39" t="s">
        <v>223</v>
      </c>
      <c r="I31" s="39" t="s">
        <v>392</v>
      </c>
      <c r="J31" s="39" t="s">
        <v>144</v>
      </c>
      <c r="K31" s="38" t="s">
        <v>91</v>
      </c>
      <c r="L31" s="8" t="s">
        <v>92</v>
      </c>
      <c r="M31" s="8" t="s">
        <v>92</v>
      </c>
      <c r="N31" s="42"/>
      <c r="O31" s="39" t="s">
        <v>151</v>
      </c>
    </row>
    <row r="32">
      <c r="A32" s="38" t="s">
        <v>409</v>
      </c>
      <c r="B32" s="38" t="s">
        <v>51</v>
      </c>
      <c r="C32" s="39" t="s">
        <v>413</v>
      </c>
      <c r="D32" s="8" t="s">
        <v>219</v>
      </c>
      <c r="E32" s="8" t="s">
        <v>313</v>
      </c>
      <c r="F32" s="39" t="s">
        <v>333</v>
      </c>
      <c r="G32" s="39" t="s">
        <v>242</v>
      </c>
      <c r="H32" s="39" t="s">
        <v>223</v>
      </c>
      <c r="I32" s="39" t="s">
        <v>392</v>
      </c>
      <c r="J32" s="39"/>
      <c r="K32" s="38" t="s">
        <v>172</v>
      </c>
      <c r="L32" s="8" t="s">
        <v>92</v>
      </c>
      <c r="M32" s="8" t="s">
        <v>92</v>
      </c>
      <c r="N32" s="42"/>
      <c r="O32" s="39" t="s">
        <v>249</v>
      </c>
    </row>
    <row r="33">
      <c r="A33" s="38" t="s">
        <v>420</v>
      </c>
      <c r="B33" s="38" t="s">
        <v>51</v>
      </c>
      <c r="C33" s="39" t="s">
        <v>422</v>
      </c>
      <c r="D33" s="8" t="s">
        <v>219</v>
      </c>
      <c r="E33" s="8" t="s">
        <v>313</v>
      </c>
      <c r="F33" s="39" t="s">
        <v>424</v>
      </c>
      <c r="G33" s="39" t="s">
        <v>425</v>
      </c>
      <c r="H33" s="39" t="s">
        <v>223</v>
      </c>
      <c r="I33" s="39" t="s">
        <v>397</v>
      </c>
      <c r="J33" s="39"/>
      <c r="K33" s="38" t="s">
        <v>172</v>
      </c>
      <c r="L33" s="8" t="s">
        <v>427</v>
      </c>
      <c r="M33" s="8" t="s">
        <v>92</v>
      </c>
      <c r="N33" s="42"/>
      <c r="O33" s="39" t="s">
        <v>263</v>
      </c>
    </row>
    <row r="34">
      <c r="A34" s="38" t="s">
        <v>428</v>
      </c>
      <c r="B34" s="38" t="s">
        <v>51</v>
      </c>
      <c r="C34" s="39" t="s">
        <v>294</v>
      </c>
      <c r="D34" s="8" t="s">
        <v>219</v>
      </c>
      <c r="E34" s="8" t="s">
        <v>313</v>
      </c>
      <c r="F34" s="39" t="s">
        <v>429</v>
      </c>
      <c r="G34" s="39" t="s">
        <v>326</v>
      </c>
      <c r="H34" s="39" t="s">
        <v>223</v>
      </c>
      <c r="I34" s="39" t="s">
        <v>432</v>
      </c>
      <c r="J34" s="39"/>
      <c r="K34" s="38" t="s">
        <v>172</v>
      </c>
      <c r="L34" s="8" t="s">
        <v>105</v>
      </c>
      <c r="M34" s="8" t="s">
        <v>105</v>
      </c>
      <c r="N34" s="42"/>
      <c r="O34" s="39" t="s">
        <v>299</v>
      </c>
    </row>
    <row r="35">
      <c r="A35" s="38" t="s">
        <v>435</v>
      </c>
      <c r="B35" s="38" t="s">
        <v>51</v>
      </c>
      <c r="C35" s="39" t="s">
        <v>266</v>
      </c>
      <c r="D35" s="8" t="s">
        <v>219</v>
      </c>
      <c r="E35" s="8" t="s">
        <v>313</v>
      </c>
      <c r="F35" s="39" t="s">
        <v>333</v>
      </c>
      <c r="G35" s="39" t="s">
        <v>182</v>
      </c>
      <c r="H35" s="39" t="s">
        <v>223</v>
      </c>
      <c r="I35" s="39" t="s">
        <v>183</v>
      </c>
      <c r="J35" s="39" t="s">
        <v>144</v>
      </c>
      <c r="K35" s="38" t="s">
        <v>91</v>
      </c>
      <c r="L35" s="8" t="s">
        <v>121</v>
      </c>
      <c r="M35" s="8" t="s">
        <v>121</v>
      </c>
      <c r="N35" s="42"/>
      <c r="O35" s="39" t="s">
        <v>436</v>
      </c>
    </row>
    <row r="36">
      <c r="A36" s="38" t="s">
        <v>438</v>
      </c>
      <c r="B36" s="38" t="s">
        <v>51</v>
      </c>
      <c r="C36" s="39" t="s">
        <v>260</v>
      </c>
      <c r="D36" s="8" t="s">
        <v>219</v>
      </c>
      <c r="E36" s="8" t="s">
        <v>313</v>
      </c>
      <c r="F36" s="39" t="s">
        <v>333</v>
      </c>
      <c r="G36" s="39" t="s">
        <v>261</v>
      </c>
      <c r="H36" s="39" t="s">
        <v>223</v>
      </c>
      <c r="I36" s="39" t="s">
        <v>262</v>
      </c>
      <c r="J36" s="39"/>
      <c r="K36" s="38" t="s">
        <v>172</v>
      </c>
      <c r="L36" s="8" t="s">
        <v>92</v>
      </c>
      <c r="M36" s="8" t="s">
        <v>92</v>
      </c>
      <c r="N36" s="42"/>
      <c r="O36" s="39" t="s">
        <v>268</v>
      </c>
    </row>
    <row r="37">
      <c r="A37" s="38" t="s">
        <v>439</v>
      </c>
      <c r="B37" s="38" t="s">
        <v>51</v>
      </c>
      <c r="C37" s="39" t="s">
        <v>440</v>
      </c>
      <c r="D37" s="8" t="s">
        <v>84</v>
      </c>
      <c r="E37" s="8" t="s">
        <v>442</v>
      </c>
      <c r="F37" s="39" t="s">
        <v>359</v>
      </c>
      <c r="G37" s="39" t="s">
        <v>445</v>
      </c>
      <c r="H37" s="39" t="s">
        <v>447</v>
      </c>
      <c r="I37" s="39" t="s">
        <v>449</v>
      </c>
      <c r="J37" s="39" t="s">
        <v>451</v>
      </c>
      <c r="K37" s="38" t="s">
        <v>91</v>
      </c>
      <c r="L37" s="8" t="s">
        <v>92</v>
      </c>
      <c r="M37" s="8" t="s">
        <v>92</v>
      </c>
      <c r="N37" s="42"/>
      <c r="O37" s="39" t="s">
        <v>453</v>
      </c>
    </row>
  </sheetData>
  <mergeCells count="4">
    <mergeCell ref="B3:J3"/>
    <mergeCell ref="K3:O3"/>
    <mergeCell ref="B18:J18"/>
    <mergeCell ref="K18:O18"/>
  </mergeCells>
  <dataValidations>
    <dataValidation type="list" allowBlank="1" showErrorMessage="1" sqref="D4:D17 D19:D37">
      <formula1>"GET,POST,PATCH,DELETE,PUT"</formula1>
    </dataValidation>
    <dataValidation type="list" allowBlank="1" showErrorMessage="1" sqref="L4:M17 L19:M37">
      <formula1>"High,Medium,Low,N/A,Critical"</formula1>
    </dataValidation>
    <dataValidation type="list" allowBlank="1" showErrorMessage="1" sqref="K4:K37">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26.75"/>
    <col customWidth="1" min="3" max="3" width="29.25"/>
    <col customWidth="1" min="4" max="4" width="19.13"/>
    <col customWidth="1" min="5" max="5" width="30.38"/>
    <col customWidth="1" min="6" max="6" width="27.0"/>
    <col customWidth="1" min="7" max="7" width="31.0"/>
    <col customWidth="1" min="8" max="8" width="34.0"/>
    <col customWidth="1" min="9" max="9" width="33.63"/>
    <col customWidth="1" min="10" max="10" width="30.38"/>
    <col customWidth="1" min="11" max="11" width="21.25"/>
    <col customWidth="1" min="12" max="12" width="17.38"/>
    <col customWidth="1" min="13" max="13" width="15.63"/>
    <col customWidth="1" min="14" max="14" width="17.88"/>
    <col customWidth="1" min="15" max="15" width="28.25"/>
  </cols>
  <sheetData>
    <row r="1">
      <c r="A1" s="2" t="s">
        <v>0</v>
      </c>
      <c r="B1" s="2" t="s">
        <v>13</v>
      </c>
      <c r="C1" s="59"/>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c r="A3" s="44" t="s">
        <v>398</v>
      </c>
      <c r="B3" s="23"/>
      <c r="C3" s="23"/>
      <c r="D3" s="23"/>
      <c r="E3" s="23"/>
      <c r="F3" s="23"/>
      <c r="G3" s="23"/>
      <c r="H3" s="23"/>
      <c r="I3" s="23"/>
      <c r="J3" s="23"/>
      <c r="K3" s="23"/>
      <c r="L3" s="23"/>
      <c r="M3" s="23"/>
      <c r="N3" s="23"/>
      <c r="O3" s="23"/>
      <c r="P3" s="23"/>
      <c r="Q3" s="23"/>
      <c r="R3" s="23"/>
      <c r="S3" s="23"/>
      <c r="T3" s="23"/>
      <c r="U3" s="23"/>
      <c r="V3" s="23"/>
      <c r="W3" s="23"/>
      <c r="X3" s="23"/>
      <c r="Y3" s="23"/>
      <c r="Z3" s="24"/>
    </row>
    <row r="4">
      <c r="A4" s="38" t="s">
        <v>405</v>
      </c>
      <c r="B4" s="38" t="s">
        <v>24</v>
      </c>
      <c r="C4" s="39" t="s">
        <v>406</v>
      </c>
      <c r="D4" s="8" t="s">
        <v>84</v>
      </c>
      <c r="E4" s="8" t="s">
        <v>410</v>
      </c>
      <c r="F4" s="39" t="s">
        <v>412</v>
      </c>
      <c r="G4" s="39" t="s">
        <v>414</v>
      </c>
      <c r="H4" s="39" t="s">
        <v>416</v>
      </c>
      <c r="I4" s="39" t="s">
        <v>417</v>
      </c>
      <c r="J4" s="39" t="s">
        <v>418</v>
      </c>
      <c r="K4" s="38" t="s">
        <v>91</v>
      </c>
      <c r="L4" s="8" t="s">
        <v>92</v>
      </c>
      <c r="M4" s="8" t="s">
        <v>92</v>
      </c>
      <c r="N4" s="39"/>
      <c r="O4" s="39" t="s">
        <v>130</v>
      </c>
    </row>
    <row r="5">
      <c r="A5" s="38" t="s">
        <v>484</v>
      </c>
      <c r="B5" s="38" t="s">
        <v>24</v>
      </c>
      <c r="C5" s="39" t="s">
        <v>485</v>
      </c>
      <c r="D5" s="8" t="s">
        <v>84</v>
      </c>
      <c r="E5" s="8" t="s">
        <v>410</v>
      </c>
      <c r="F5" s="39" t="s">
        <v>486</v>
      </c>
      <c r="G5" s="39" t="s">
        <v>487</v>
      </c>
      <c r="H5" s="39" t="s">
        <v>88</v>
      </c>
      <c r="I5" s="39" t="s">
        <v>488</v>
      </c>
      <c r="J5" s="39" t="s">
        <v>489</v>
      </c>
      <c r="K5" s="38" t="s">
        <v>91</v>
      </c>
      <c r="L5" s="8" t="s">
        <v>105</v>
      </c>
      <c r="M5" s="8" t="s">
        <v>105</v>
      </c>
      <c r="N5" s="39"/>
      <c r="O5" s="39" t="s">
        <v>490</v>
      </c>
    </row>
    <row r="6">
      <c r="A6" s="38" t="s">
        <v>491</v>
      </c>
      <c r="B6" s="38" t="s">
        <v>24</v>
      </c>
      <c r="C6" s="39" t="s">
        <v>492</v>
      </c>
      <c r="D6" s="8" t="s">
        <v>84</v>
      </c>
      <c r="E6" s="8" t="s">
        <v>410</v>
      </c>
      <c r="F6" s="39" t="s">
        <v>493</v>
      </c>
      <c r="G6" s="39" t="s">
        <v>487</v>
      </c>
      <c r="H6" s="39" t="s">
        <v>88</v>
      </c>
      <c r="I6" s="39" t="s">
        <v>494</v>
      </c>
      <c r="J6" s="39" t="s">
        <v>495</v>
      </c>
      <c r="K6" s="38" t="s">
        <v>91</v>
      </c>
      <c r="L6" s="8" t="s">
        <v>105</v>
      </c>
      <c r="M6" s="8" t="s">
        <v>105</v>
      </c>
      <c r="N6" s="39"/>
      <c r="O6" s="39" t="s">
        <v>496</v>
      </c>
    </row>
    <row r="7">
      <c r="A7" s="38" t="s">
        <v>497</v>
      </c>
      <c r="B7" s="38" t="s">
        <v>24</v>
      </c>
      <c r="C7" s="39" t="s">
        <v>498</v>
      </c>
      <c r="D7" s="8" t="s">
        <v>84</v>
      </c>
      <c r="E7" s="8" t="s">
        <v>410</v>
      </c>
      <c r="F7" s="39" t="s">
        <v>412</v>
      </c>
      <c r="G7" s="39" t="s">
        <v>499</v>
      </c>
      <c r="H7" s="39" t="s">
        <v>88</v>
      </c>
      <c r="I7" s="39" t="s">
        <v>141</v>
      </c>
      <c r="J7" s="39" t="s">
        <v>500</v>
      </c>
      <c r="K7" s="38" t="s">
        <v>91</v>
      </c>
      <c r="L7" s="8" t="s">
        <v>92</v>
      </c>
      <c r="M7" s="8" t="s">
        <v>92</v>
      </c>
      <c r="N7" s="39"/>
      <c r="O7" s="39" t="s">
        <v>206</v>
      </c>
    </row>
    <row r="8">
      <c r="A8" s="38" t="s">
        <v>501</v>
      </c>
      <c r="B8" s="38" t="s">
        <v>24</v>
      </c>
      <c r="C8" s="39" t="s">
        <v>502</v>
      </c>
      <c r="D8" s="8" t="s">
        <v>84</v>
      </c>
      <c r="E8" s="8" t="s">
        <v>410</v>
      </c>
      <c r="F8" s="39" t="s">
        <v>412</v>
      </c>
      <c r="G8" s="39" t="s">
        <v>503</v>
      </c>
      <c r="H8" s="39" t="s">
        <v>88</v>
      </c>
      <c r="I8" s="39" t="s">
        <v>504</v>
      </c>
      <c r="J8" s="39"/>
      <c r="K8" s="38" t="s">
        <v>172</v>
      </c>
      <c r="L8" s="8" t="s">
        <v>92</v>
      </c>
      <c r="M8" s="8" t="s">
        <v>92</v>
      </c>
      <c r="N8" s="39"/>
      <c r="O8" s="39" t="s">
        <v>174</v>
      </c>
    </row>
    <row r="9">
      <c r="A9" s="38" t="s">
        <v>505</v>
      </c>
      <c r="B9" s="38" t="s">
        <v>24</v>
      </c>
      <c r="C9" s="39" t="s">
        <v>506</v>
      </c>
      <c r="D9" s="8" t="s">
        <v>84</v>
      </c>
      <c r="E9" s="8" t="s">
        <v>410</v>
      </c>
      <c r="F9" s="39" t="s">
        <v>412</v>
      </c>
      <c r="G9" s="39" t="s">
        <v>507</v>
      </c>
      <c r="H9" s="39" t="s">
        <v>88</v>
      </c>
      <c r="I9" s="39" t="s">
        <v>508</v>
      </c>
      <c r="J9" s="39" t="s">
        <v>144</v>
      </c>
      <c r="K9" s="38" t="s">
        <v>91</v>
      </c>
      <c r="L9" s="8" t="s">
        <v>121</v>
      </c>
      <c r="M9" s="8" t="s">
        <v>121</v>
      </c>
      <c r="N9" s="39"/>
      <c r="O9" s="39" t="s">
        <v>100</v>
      </c>
    </row>
    <row r="10">
      <c r="A10" s="38" t="s">
        <v>510</v>
      </c>
      <c r="B10" s="38" t="s">
        <v>24</v>
      </c>
      <c r="C10" s="39" t="s">
        <v>511</v>
      </c>
      <c r="D10" s="8" t="s">
        <v>84</v>
      </c>
      <c r="E10" s="8" t="s">
        <v>410</v>
      </c>
      <c r="F10" s="39" t="s">
        <v>412</v>
      </c>
      <c r="G10" s="39" t="s">
        <v>507</v>
      </c>
      <c r="H10" s="39" t="s">
        <v>88</v>
      </c>
      <c r="I10" s="39" t="s">
        <v>512</v>
      </c>
      <c r="J10" s="39" t="s">
        <v>144</v>
      </c>
      <c r="K10" s="38" t="s">
        <v>91</v>
      </c>
      <c r="L10" s="8" t="s">
        <v>105</v>
      </c>
      <c r="M10" s="8" t="s">
        <v>105</v>
      </c>
      <c r="N10" s="39"/>
      <c r="O10" s="39" t="s">
        <v>387</v>
      </c>
    </row>
    <row r="11">
      <c r="A11" s="38" t="s">
        <v>515</v>
      </c>
      <c r="B11" s="38" t="s">
        <v>24</v>
      </c>
      <c r="C11" s="39" t="s">
        <v>516</v>
      </c>
      <c r="D11" s="8" t="s">
        <v>84</v>
      </c>
      <c r="E11" s="8" t="s">
        <v>410</v>
      </c>
      <c r="F11" s="39" t="s">
        <v>517</v>
      </c>
      <c r="G11" s="39" t="s">
        <v>507</v>
      </c>
      <c r="H11" s="39" t="s">
        <v>88</v>
      </c>
      <c r="I11" s="39" t="s">
        <v>329</v>
      </c>
      <c r="J11" s="39" t="s">
        <v>144</v>
      </c>
      <c r="K11" s="38" t="s">
        <v>91</v>
      </c>
      <c r="L11" s="8" t="s">
        <v>121</v>
      </c>
      <c r="M11" s="8" t="s">
        <v>121</v>
      </c>
      <c r="N11" s="39"/>
      <c r="O11" s="39" t="s">
        <v>518</v>
      </c>
    </row>
    <row r="12">
      <c r="A12" s="38" t="s">
        <v>519</v>
      </c>
      <c r="B12" s="38" t="s">
        <v>24</v>
      </c>
      <c r="C12" s="39" t="s">
        <v>520</v>
      </c>
      <c r="D12" s="8" t="s">
        <v>84</v>
      </c>
      <c r="E12" s="8" t="s">
        <v>410</v>
      </c>
      <c r="F12" s="39" t="s">
        <v>517</v>
      </c>
      <c r="G12" s="39" t="s">
        <v>523</v>
      </c>
      <c r="H12" s="39" t="s">
        <v>88</v>
      </c>
      <c r="I12" s="39" t="s">
        <v>262</v>
      </c>
      <c r="J12" s="39" t="s">
        <v>526</v>
      </c>
      <c r="K12" s="38" t="s">
        <v>91</v>
      </c>
      <c r="L12" s="8" t="s">
        <v>92</v>
      </c>
      <c r="M12" s="8" t="s">
        <v>92</v>
      </c>
      <c r="N12" s="39"/>
      <c r="O12" s="39" t="s">
        <v>527</v>
      </c>
    </row>
    <row r="13">
      <c r="A13" s="44" t="s">
        <v>528</v>
      </c>
      <c r="B13" s="23"/>
      <c r="C13" s="23"/>
      <c r="D13" s="23"/>
      <c r="E13" s="23"/>
      <c r="F13" s="23"/>
      <c r="G13" s="23"/>
      <c r="H13" s="23"/>
      <c r="I13" s="23"/>
      <c r="J13" s="23"/>
      <c r="K13" s="23"/>
      <c r="L13" s="23"/>
      <c r="M13" s="23"/>
      <c r="N13" s="23"/>
      <c r="O13" s="23"/>
      <c r="P13" s="23"/>
      <c r="Q13" s="23"/>
      <c r="R13" s="23"/>
      <c r="S13" s="23"/>
      <c r="T13" s="23"/>
      <c r="U13" s="23"/>
      <c r="V13" s="23"/>
      <c r="W13" s="23"/>
      <c r="X13" s="23"/>
      <c r="Y13" s="23"/>
      <c r="Z13" s="24"/>
    </row>
    <row r="14">
      <c r="A14" s="38" t="s">
        <v>530</v>
      </c>
      <c r="B14" s="38" t="s">
        <v>24</v>
      </c>
      <c r="C14" s="39" t="s">
        <v>532</v>
      </c>
      <c r="D14" s="8" t="s">
        <v>84</v>
      </c>
      <c r="E14" s="65" t="s">
        <v>533</v>
      </c>
      <c r="F14" s="39" t="s">
        <v>127</v>
      </c>
      <c r="G14" s="39" t="s">
        <v>535</v>
      </c>
      <c r="H14" s="39" t="s">
        <v>236</v>
      </c>
      <c r="I14" s="39" t="s">
        <v>536</v>
      </c>
      <c r="J14" s="39" t="s">
        <v>537</v>
      </c>
      <c r="K14" s="38" t="s">
        <v>91</v>
      </c>
      <c r="L14" s="8" t="s">
        <v>92</v>
      </c>
      <c r="M14" s="8" t="s">
        <v>92</v>
      </c>
      <c r="N14" s="39"/>
      <c r="O14" s="39" t="s">
        <v>130</v>
      </c>
    </row>
    <row r="15">
      <c r="A15" s="38" t="s">
        <v>540</v>
      </c>
      <c r="B15" s="38" t="s">
        <v>24</v>
      </c>
      <c r="C15" s="39" t="s">
        <v>541</v>
      </c>
      <c r="D15" s="8" t="s">
        <v>84</v>
      </c>
      <c r="E15" s="65" t="s">
        <v>533</v>
      </c>
      <c r="F15" s="39" t="s">
        <v>127</v>
      </c>
      <c r="G15" s="39" t="s">
        <v>543</v>
      </c>
      <c r="H15" s="39" t="s">
        <v>88</v>
      </c>
      <c r="I15" s="39" t="s">
        <v>544</v>
      </c>
      <c r="J15" s="39" t="s">
        <v>144</v>
      </c>
      <c r="K15" s="38" t="s">
        <v>91</v>
      </c>
      <c r="L15" s="8" t="s">
        <v>121</v>
      </c>
      <c r="M15" s="8" t="s">
        <v>121</v>
      </c>
      <c r="N15" s="39"/>
      <c r="O15" s="39" t="s">
        <v>100</v>
      </c>
    </row>
    <row r="16">
      <c r="A16" s="38" t="s">
        <v>545</v>
      </c>
      <c r="B16" s="38" t="s">
        <v>24</v>
      </c>
      <c r="C16" s="39" t="s">
        <v>547</v>
      </c>
      <c r="D16" s="8" t="s">
        <v>84</v>
      </c>
      <c r="E16" s="65" t="s">
        <v>533</v>
      </c>
      <c r="F16" s="39" t="s">
        <v>127</v>
      </c>
      <c r="G16" s="39" t="s">
        <v>549</v>
      </c>
      <c r="H16" s="39" t="s">
        <v>88</v>
      </c>
      <c r="I16" s="39" t="s">
        <v>550</v>
      </c>
      <c r="J16" s="39" t="s">
        <v>551</v>
      </c>
      <c r="K16" s="38" t="s">
        <v>91</v>
      </c>
      <c r="L16" s="8" t="s">
        <v>105</v>
      </c>
      <c r="M16" s="8" t="s">
        <v>105</v>
      </c>
      <c r="N16" s="39"/>
      <c r="O16" s="39" t="s">
        <v>136</v>
      </c>
    </row>
    <row r="17">
      <c r="A17" s="38" t="s">
        <v>553</v>
      </c>
      <c r="B17" s="38" t="s">
        <v>24</v>
      </c>
      <c r="C17" s="39" t="s">
        <v>554</v>
      </c>
      <c r="D17" s="8" t="s">
        <v>84</v>
      </c>
      <c r="E17" s="65" t="s">
        <v>533</v>
      </c>
      <c r="F17" s="39" t="s">
        <v>127</v>
      </c>
      <c r="G17" s="39" t="s">
        <v>499</v>
      </c>
      <c r="H17" s="39" t="s">
        <v>88</v>
      </c>
      <c r="I17" s="39" t="s">
        <v>556</v>
      </c>
      <c r="J17" s="39" t="s">
        <v>557</v>
      </c>
      <c r="K17" s="38" t="s">
        <v>91</v>
      </c>
      <c r="L17" s="8" t="s">
        <v>92</v>
      </c>
      <c r="M17" s="8" t="s">
        <v>92</v>
      </c>
      <c r="N17" s="39"/>
      <c r="O17" s="39" t="s">
        <v>206</v>
      </c>
    </row>
    <row r="18">
      <c r="A18" s="38" t="s">
        <v>559</v>
      </c>
      <c r="B18" s="38" t="s">
        <v>24</v>
      </c>
      <c r="C18" s="39" t="s">
        <v>561</v>
      </c>
      <c r="D18" s="8" t="s">
        <v>84</v>
      </c>
      <c r="E18" s="65" t="s">
        <v>533</v>
      </c>
      <c r="F18" s="39" t="s">
        <v>127</v>
      </c>
      <c r="G18" s="39" t="s">
        <v>503</v>
      </c>
      <c r="H18" s="39" t="s">
        <v>88</v>
      </c>
      <c r="I18" s="39" t="s">
        <v>562</v>
      </c>
      <c r="J18" s="39"/>
      <c r="K18" s="38" t="s">
        <v>172</v>
      </c>
      <c r="L18" s="8" t="s">
        <v>92</v>
      </c>
      <c r="M18" s="8" t="s">
        <v>92</v>
      </c>
      <c r="N18" s="39"/>
      <c r="O18" s="39" t="s">
        <v>174</v>
      </c>
    </row>
    <row r="19">
      <c r="A19" s="38" t="s">
        <v>565</v>
      </c>
      <c r="B19" s="38" t="s">
        <v>24</v>
      </c>
      <c r="C19" s="39" t="s">
        <v>566</v>
      </c>
      <c r="D19" s="8" t="s">
        <v>84</v>
      </c>
      <c r="E19" s="65" t="s">
        <v>533</v>
      </c>
      <c r="F19" s="39" t="s">
        <v>127</v>
      </c>
      <c r="G19" s="39" t="s">
        <v>567</v>
      </c>
      <c r="H19" s="39" t="s">
        <v>88</v>
      </c>
      <c r="I19" s="39" t="s">
        <v>568</v>
      </c>
      <c r="J19" s="39" t="s">
        <v>144</v>
      </c>
      <c r="K19" s="38" t="s">
        <v>91</v>
      </c>
      <c r="L19" s="8" t="s">
        <v>121</v>
      </c>
      <c r="M19" s="8" t="s">
        <v>121</v>
      </c>
      <c r="N19" s="39"/>
      <c r="O19" s="39" t="s">
        <v>278</v>
      </c>
    </row>
    <row r="20">
      <c r="A20" s="38" t="s">
        <v>571</v>
      </c>
      <c r="B20" s="38" t="s">
        <v>24</v>
      </c>
      <c r="C20" s="39" t="s">
        <v>572</v>
      </c>
      <c r="D20" s="8" t="s">
        <v>84</v>
      </c>
      <c r="E20" s="65" t="s">
        <v>533</v>
      </c>
      <c r="F20" s="39" t="s">
        <v>127</v>
      </c>
      <c r="G20" s="39" t="s">
        <v>543</v>
      </c>
      <c r="H20" s="39" t="s">
        <v>88</v>
      </c>
      <c r="I20" s="39" t="s">
        <v>329</v>
      </c>
      <c r="J20" s="39" t="s">
        <v>144</v>
      </c>
      <c r="K20" s="38" t="s">
        <v>91</v>
      </c>
      <c r="L20" s="8" t="s">
        <v>121</v>
      </c>
      <c r="M20" s="8" t="s">
        <v>121</v>
      </c>
      <c r="N20" s="39"/>
      <c r="O20" s="39" t="s">
        <v>518</v>
      </c>
    </row>
    <row r="21">
      <c r="A21" s="38" t="s">
        <v>575</v>
      </c>
      <c r="B21" s="38" t="s">
        <v>24</v>
      </c>
      <c r="C21" s="39" t="s">
        <v>520</v>
      </c>
      <c r="D21" s="8" t="s">
        <v>84</v>
      </c>
      <c r="E21" s="65" t="s">
        <v>533</v>
      </c>
      <c r="F21" s="39" t="s">
        <v>127</v>
      </c>
      <c r="G21" s="39" t="s">
        <v>523</v>
      </c>
      <c r="H21" s="39" t="s">
        <v>88</v>
      </c>
      <c r="I21" s="39" t="s">
        <v>579</v>
      </c>
      <c r="J21" s="39" t="s">
        <v>144</v>
      </c>
      <c r="K21" s="38" t="s">
        <v>91</v>
      </c>
      <c r="L21" s="8" t="s">
        <v>92</v>
      </c>
      <c r="M21" s="8" t="s">
        <v>92</v>
      </c>
      <c r="N21" s="39"/>
      <c r="O21" s="39" t="s">
        <v>527</v>
      </c>
    </row>
    <row r="22">
      <c r="A22" s="44" t="s">
        <v>584</v>
      </c>
      <c r="B22" s="23"/>
      <c r="C22" s="23"/>
      <c r="D22" s="23"/>
      <c r="E22" s="23"/>
      <c r="F22" s="23"/>
      <c r="G22" s="23"/>
      <c r="H22" s="23"/>
      <c r="I22" s="23"/>
      <c r="J22" s="23"/>
      <c r="K22" s="23"/>
      <c r="L22" s="23"/>
      <c r="M22" s="23"/>
      <c r="N22" s="23"/>
      <c r="O22" s="23"/>
      <c r="P22" s="23"/>
      <c r="Q22" s="23"/>
      <c r="R22" s="23"/>
      <c r="S22" s="23"/>
      <c r="T22" s="23"/>
      <c r="U22" s="23"/>
      <c r="V22" s="23"/>
      <c r="W22" s="23"/>
      <c r="X22" s="23"/>
      <c r="Y22" s="23"/>
      <c r="Z22" s="24"/>
    </row>
    <row r="23">
      <c r="A23" s="38" t="s">
        <v>587</v>
      </c>
      <c r="B23" s="38" t="s">
        <v>24</v>
      </c>
      <c r="C23" s="39" t="s">
        <v>588</v>
      </c>
      <c r="D23" s="8" t="s">
        <v>219</v>
      </c>
      <c r="E23" s="8" t="s">
        <v>590</v>
      </c>
      <c r="F23" s="39" t="s">
        <v>591</v>
      </c>
      <c r="G23" s="39" t="s">
        <v>487</v>
      </c>
      <c r="H23" s="39" t="s">
        <v>317</v>
      </c>
      <c r="I23" s="39" t="s">
        <v>595</v>
      </c>
      <c r="J23" s="39" t="s">
        <v>596</v>
      </c>
      <c r="K23" s="38" t="s">
        <v>91</v>
      </c>
      <c r="L23" s="8" t="s">
        <v>92</v>
      </c>
      <c r="M23" s="8" t="s">
        <v>92</v>
      </c>
      <c r="N23" s="39"/>
      <c r="O23" s="39" t="s">
        <v>130</v>
      </c>
    </row>
    <row r="24">
      <c r="A24" s="38" t="s">
        <v>601</v>
      </c>
      <c r="B24" s="38" t="s">
        <v>24</v>
      </c>
      <c r="C24" s="39" t="s">
        <v>602</v>
      </c>
      <c r="D24" s="8" t="s">
        <v>219</v>
      </c>
      <c r="E24" s="8" t="s">
        <v>590</v>
      </c>
      <c r="F24" s="39" t="s">
        <v>603</v>
      </c>
      <c r="G24" s="39" t="s">
        <v>487</v>
      </c>
      <c r="H24" s="39" t="s">
        <v>605</v>
      </c>
      <c r="I24" s="39" t="s">
        <v>606</v>
      </c>
      <c r="J24" s="39" t="s">
        <v>608</v>
      </c>
      <c r="K24" s="38" t="s">
        <v>91</v>
      </c>
      <c r="L24" s="8" t="s">
        <v>92</v>
      </c>
      <c r="M24" s="8" t="s">
        <v>92</v>
      </c>
      <c r="N24" s="39"/>
      <c r="O24" s="39" t="s">
        <v>107</v>
      </c>
    </row>
    <row r="25">
      <c r="A25" s="38" t="s">
        <v>611</v>
      </c>
      <c r="B25" s="38" t="s">
        <v>24</v>
      </c>
      <c r="C25" s="39" t="s">
        <v>613</v>
      </c>
      <c r="D25" s="8" t="s">
        <v>219</v>
      </c>
      <c r="E25" s="8" t="s">
        <v>590</v>
      </c>
      <c r="F25" s="39" t="s">
        <v>615</v>
      </c>
      <c r="G25" s="39" t="s">
        <v>487</v>
      </c>
      <c r="H25" s="39" t="s">
        <v>616</v>
      </c>
      <c r="I25" s="39" t="s">
        <v>617</v>
      </c>
      <c r="J25" s="39" t="s">
        <v>144</v>
      </c>
      <c r="K25" s="38" t="s">
        <v>91</v>
      </c>
      <c r="L25" s="8" t="s">
        <v>92</v>
      </c>
      <c r="M25" s="8" t="s">
        <v>92</v>
      </c>
      <c r="N25" s="39"/>
      <c r="O25" s="39" t="s">
        <v>107</v>
      </c>
    </row>
    <row r="26">
      <c r="A26" s="38" t="s">
        <v>620</v>
      </c>
      <c r="B26" s="38" t="s">
        <v>24</v>
      </c>
      <c r="C26" s="39" t="s">
        <v>621</v>
      </c>
      <c r="D26" s="8" t="s">
        <v>219</v>
      </c>
      <c r="E26" s="8" t="s">
        <v>590</v>
      </c>
      <c r="F26" s="39" t="s">
        <v>624</v>
      </c>
      <c r="G26" s="39" t="s">
        <v>487</v>
      </c>
      <c r="H26" s="39" t="s">
        <v>625</v>
      </c>
      <c r="I26" s="39" t="s">
        <v>626</v>
      </c>
      <c r="J26" s="39" t="s">
        <v>627</v>
      </c>
      <c r="K26" s="38" t="s">
        <v>91</v>
      </c>
      <c r="L26" s="8" t="s">
        <v>105</v>
      </c>
      <c r="M26" s="8" t="s">
        <v>105</v>
      </c>
      <c r="N26" s="39"/>
      <c r="O26" s="39" t="s">
        <v>636</v>
      </c>
    </row>
    <row r="27">
      <c r="A27" s="38" t="s">
        <v>638</v>
      </c>
      <c r="B27" s="38" t="s">
        <v>24</v>
      </c>
      <c r="C27" s="39" t="s">
        <v>640</v>
      </c>
      <c r="D27" s="8" t="s">
        <v>219</v>
      </c>
      <c r="E27" s="8" t="s">
        <v>590</v>
      </c>
      <c r="F27" s="39" t="s">
        <v>643</v>
      </c>
      <c r="G27" s="39" t="s">
        <v>645</v>
      </c>
      <c r="H27" s="39" t="s">
        <v>223</v>
      </c>
      <c r="I27" s="39" t="s">
        <v>646</v>
      </c>
      <c r="J27" s="39" t="s">
        <v>647</v>
      </c>
      <c r="K27" s="38" t="s">
        <v>91</v>
      </c>
      <c r="L27" s="8" t="s">
        <v>105</v>
      </c>
      <c r="M27" s="8" t="s">
        <v>105</v>
      </c>
      <c r="N27" s="39"/>
      <c r="O27" s="39" t="s">
        <v>666</v>
      </c>
    </row>
    <row r="28">
      <c r="A28" s="38" t="s">
        <v>668</v>
      </c>
      <c r="B28" s="38" t="s">
        <v>24</v>
      </c>
      <c r="C28" s="39" t="s">
        <v>670</v>
      </c>
      <c r="D28" s="8" t="s">
        <v>219</v>
      </c>
      <c r="E28" s="8" t="s">
        <v>590</v>
      </c>
      <c r="F28" s="39" t="s">
        <v>433</v>
      </c>
      <c r="G28" s="39" t="s">
        <v>487</v>
      </c>
      <c r="H28" s="39" t="s">
        <v>677</v>
      </c>
      <c r="I28" s="39" t="s">
        <v>373</v>
      </c>
      <c r="J28" s="39" t="s">
        <v>144</v>
      </c>
      <c r="K28" s="38" t="s">
        <v>91</v>
      </c>
      <c r="L28" s="8" t="s">
        <v>105</v>
      </c>
      <c r="M28" s="8" t="s">
        <v>105</v>
      </c>
      <c r="N28" s="39"/>
      <c r="O28" s="39" t="s">
        <v>678</v>
      </c>
    </row>
    <row r="29">
      <c r="A29" s="38" t="s">
        <v>682</v>
      </c>
      <c r="B29" s="38" t="s">
        <v>24</v>
      </c>
      <c r="C29" s="39" t="s">
        <v>683</v>
      </c>
      <c r="D29" s="8" t="s">
        <v>219</v>
      </c>
      <c r="E29" s="8" t="s">
        <v>590</v>
      </c>
      <c r="F29" s="39" t="s">
        <v>333</v>
      </c>
      <c r="G29" s="39" t="s">
        <v>499</v>
      </c>
      <c r="H29" s="39" t="s">
        <v>223</v>
      </c>
      <c r="I29" s="39" t="s">
        <v>392</v>
      </c>
      <c r="J29" s="39" t="s">
        <v>685</v>
      </c>
      <c r="K29" s="38" t="s">
        <v>91</v>
      </c>
      <c r="L29" s="8" t="s">
        <v>92</v>
      </c>
      <c r="M29" s="8" t="s">
        <v>92</v>
      </c>
      <c r="N29" s="39"/>
      <c r="O29" s="39" t="s">
        <v>206</v>
      </c>
    </row>
    <row r="30">
      <c r="A30" s="38" t="s">
        <v>687</v>
      </c>
      <c r="B30" s="38" t="s">
        <v>24</v>
      </c>
      <c r="C30" s="39" t="s">
        <v>688</v>
      </c>
      <c r="D30" s="8" t="s">
        <v>219</v>
      </c>
      <c r="E30" s="8" t="s">
        <v>590</v>
      </c>
      <c r="F30" s="39" t="s">
        <v>333</v>
      </c>
      <c r="G30" s="39" t="s">
        <v>503</v>
      </c>
      <c r="H30" s="39" t="s">
        <v>223</v>
      </c>
      <c r="I30" s="39" t="s">
        <v>690</v>
      </c>
      <c r="J30" s="39"/>
      <c r="K30" s="38" t="s">
        <v>172</v>
      </c>
      <c r="L30" s="8" t="s">
        <v>92</v>
      </c>
      <c r="M30" s="8" t="s">
        <v>92</v>
      </c>
      <c r="N30" s="39"/>
      <c r="O30" s="39" t="s">
        <v>174</v>
      </c>
    </row>
    <row r="31">
      <c r="A31" s="38" t="s">
        <v>692</v>
      </c>
      <c r="B31" s="38" t="s">
        <v>24</v>
      </c>
      <c r="C31" s="39" t="s">
        <v>506</v>
      </c>
      <c r="D31" s="8" t="s">
        <v>219</v>
      </c>
      <c r="E31" s="8" t="s">
        <v>590</v>
      </c>
      <c r="F31" s="39" t="s">
        <v>333</v>
      </c>
      <c r="G31" s="39" t="s">
        <v>695</v>
      </c>
      <c r="H31" s="39" t="s">
        <v>223</v>
      </c>
      <c r="I31" s="39" t="s">
        <v>698</v>
      </c>
      <c r="J31" s="39" t="s">
        <v>699</v>
      </c>
      <c r="K31" s="38" t="s">
        <v>91</v>
      </c>
      <c r="L31" s="8" t="s">
        <v>121</v>
      </c>
      <c r="M31" s="8" t="s">
        <v>121</v>
      </c>
      <c r="N31" s="39"/>
      <c r="O31" s="39" t="s">
        <v>100</v>
      </c>
    </row>
    <row r="32">
      <c r="A32" s="38" t="s">
        <v>702</v>
      </c>
      <c r="B32" s="38" t="s">
        <v>24</v>
      </c>
      <c r="C32" s="39" t="s">
        <v>703</v>
      </c>
      <c r="D32" s="8" t="s">
        <v>219</v>
      </c>
      <c r="E32" s="8" t="s">
        <v>590</v>
      </c>
      <c r="F32" s="39" t="s">
        <v>333</v>
      </c>
      <c r="G32" s="39" t="s">
        <v>269</v>
      </c>
      <c r="H32" s="39" t="s">
        <v>223</v>
      </c>
      <c r="I32" s="39" t="s">
        <v>272</v>
      </c>
      <c r="J32" s="39"/>
      <c r="K32" s="38" t="s">
        <v>172</v>
      </c>
      <c r="L32" s="8" t="s">
        <v>121</v>
      </c>
      <c r="M32" s="8" t="s">
        <v>121</v>
      </c>
      <c r="N32" s="39"/>
      <c r="O32" s="39" t="s">
        <v>278</v>
      </c>
    </row>
    <row r="33">
      <c r="A33" s="38" t="s">
        <v>707</v>
      </c>
      <c r="B33" s="38" t="s">
        <v>24</v>
      </c>
      <c r="C33" s="39" t="s">
        <v>520</v>
      </c>
      <c r="D33" s="8" t="s">
        <v>219</v>
      </c>
      <c r="E33" s="8" t="s">
        <v>590</v>
      </c>
      <c r="F33" s="39" t="s">
        <v>333</v>
      </c>
      <c r="G33" s="39" t="s">
        <v>282</v>
      </c>
      <c r="H33" s="39" t="s">
        <v>223</v>
      </c>
      <c r="I33" s="39" t="s">
        <v>262</v>
      </c>
      <c r="J33" s="39" t="s">
        <v>144</v>
      </c>
      <c r="K33" s="38" t="s">
        <v>91</v>
      </c>
      <c r="L33" s="8" t="s">
        <v>92</v>
      </c>
      <c r="M33" s="8" t="s">
        <v>92</v>
      </c>
      <c r="N33" s="39"/>
      <c r="O33" s="39" t="s">
        <v>527</v>
      </c>
    </row>
    <row r="34">
      <c r="A34" s="44" t="s">
        <v>724</v>
      </c>
      <c r="B34" s="23"/>
      <c r="C34" s="23"/>
      <c r="D34" s="23"/>
      <c r="E34" s="23"/>
      <c r="F34" s="23"/>
      <c r="G34" s="23"/>
      <c r="H34" s="23"/>
      <c r="I34" s="23"/>
      <c r="J34" s="23"/>
      <c r="K34" s="23"/>
      <c r="L34" s="23"/>
      <c r="M34" s="23"/>
      <c r="N34" s="23"/>
      <c r="O34" s="23"/>
      <c r="P34" s="23"/>
      <c r="Q34" s="23"/>
      <c r="R34" s="23"/>
      <c r="S34" s="23"/>
      <c r="T34" s="23"/>
      <c r="U34" s="23"/>
      <c r="V34" s="23"/>
      <c r="W34" s="23"/>
      <c r="X34" s="23"/>
      <c r="Y34" s="23"/>
      <c r="Z34" s="24"/>
    </row>
    <row r="35">
      <c r="A35" s="38" t="s">
        <v>726</v>
      </c>
      <c r="B35" s="38" t="s">
        <v>24</v>
      </c>
      <c r="C35" s="39" t="s">
        <v>727</v>
      </c>
      <c r="D35" s="8" t="s">
        <v>84</v>
      </c>
      <c r="E35" s="8" t="s">
        <v>590</v>
      </c>
      <c r="F35" s="39" t="s">
        <v>728</v>
      </c>
      <c r="G35" s="39" t="s">
        <v>535</v>
      </c>
      <c r="H35" s="39" t="s">
        <v>729</v>
      </c>
      <c r="I35" s="39" t="s">
        <v>730</v>
      </c>
      <c r="J35" s="39" t="s">
        <v>731</v>
      </c>
      <c r="K35" s="38" t="s">
        <v>91</v>
      </c>
      <c r="L35" s="8" t="s">
        <v>92</v>
      </c>
      <c r="M35" s="8" t="s">
        <v>92</v>
      </c>
      <c r="N35" s="39"/>
      <c r="O35" s="39" t="s">
        <v>130</v>
      </c>
    </row>
    <row r="36">
      <c r="A36" s="38" t="s">
        <v>746</v>
      </c>
      <c r="B36" s="38" t="s">
        <v>24</v>
      </c>
      <c r="C36" s="39" t="s">
        <v>748</v>
      </c>
      <c r="D36" s="8" t="s">
        <v>84</v>
      </c>
      <c r="E36" s="8" t="s">
        <v>590</v>
      </c>
      <c r="F36" s="39" t="s">
        <v>751</v>
      </c>
      <c r="G36" s="39" t="s">
        <v>487</v>
      </c>
      <c r="H36" s="39" t="s">
        <v>753</v>
      </c>
      <c r="I36" s="39" t="s">
        <v>754</v>
      </c>
      <c r="J36" s="39" t="s">
        <v>144</v>
      </c>
      <c r="K36" s="38" t="s">
        <v>91</v>
      </c>
      <c r="L36" s="8" t="s">
        <v>105</v>
      </c>
      <c r="M36" s="8" t="s">
        <v>105</v>
      </c>
      <c r="N36" s="39"/>
      <c r="O36" s="39" t="s">
        <v>756</v>
      </c>
    </row>
    <row r="37">
      <c r="A37" s="38" t="s">
        <v>758</v>
      </c>
      <c r="B37" s="38" t="s">
        <v>24</v>
      </c>
      <c r="C37" s="39" t="s">
        <v>760</v>
      </c>
      <c r="D37" s="8" t="s">
        <v>84</v>
      </c>
      <c r="E37" s="8" t="s">
        <v>590</v>
      </c>
      <c r="F37" s="39" t="s">
        <v>762</v>
      </c>
      <c r="G37" s="39" t="s">
        <v>487</v>
      </c>
      <c r="H37" s="39" t="s">
        <v>763</v>
      </c>
      <c r="I37" s="39" t="s">
        <v>764</v>
      </c>
      <c r="J37" s="39" t="s">
        <v>765</v>
      </c>
      <c r="K37" s="38" t="s">
        <v>91</v>
      </c>
      <c r="L37" s="8" t="s">
        <v>105</v>
      </c>
      <c r="M37" s="8" t="s">
        <v>105</v>
      </c>
      <c r="N37" s="39"/>
      <c r="O37" s="39" t="s">
        <v>767</v>
      </c>
    </row>
    <row r="38">
      <c r="A38" s="38" t="s">
        <v>768</v>
      </c>
      <c r="B38" s="38" t="s">
        <v>24</v>
      </c>
      <c r="C38" s="39" t="s">
        <v>770</v>
      </c>
      <c r="D38" s="8" t="s">
        <v>84</v>
      </c>
      <c r="E38" s="8" t="s">
        <v>590</v>
      </c>
      <c r="F38" s="39" t="s">
        <v>772</v>
      </c>
      <c r="G38" s="39" t="s">
        <v>487</v>
      </c>
      <c r="H38" s="39" t="s">
        <v>774</v>
      </c>
      <c r="I38" s="39" t="s">
        <v>775</v>
      </c>
      <c r="J38" s="39" t="s">
        <v>144</v>
      </c>
      <c r="K38" s="38" t="s">
        <v>91</v>
      </c>
      <c r="L38" s="8" t="s">
        <v>105</v>
      </c>
      <c r="M38" s="8" t="s">
        <v>105</v>
      </c>
      <c r="N38" s="39"/>
      <c r="O38" s="39" t="s">
        <v>777</v>
      </c>
    </row>
    <row r="39">
      <c r="A39" s="38" t="s">
        <v>778</v>
      </c>
      <c r="B39" s="38" t="s">
        <v>24</v>
      </c>
      <c r="C39" s="39" t="s">
        <v>779</v>
      </c>
      <c r="D39" s="8" t="s">
        <v>84</v>
      </c>
      <c r="E39" s="8" t="s">
        <v>590</v>
      </c>
      <c r="F39" s="39" t="s">
        <v>781</v>
      </c>
      <c r="G39" s="39" t="s">
        <v>487</v>
      </c>
      <c r="H39" s="39" t="s">
        <v>88</v>
      </c>
      <c r="I39" s="39" t="s">
        <v>783</v>
      </c>
      <c r="J39" s="39" t="s">
        <v>644</v>
      </c>
      <c r="K39" s="38" t="s">
        <v>91</v>
      </c>
      <c r="L39" s="8" t="s">
        <v>121</v>
      </c>
      <c r="M39" s="8" t="s">
        <v>121</v>
      </c>
      <c r="N39" s="39"/>
      <c r="O39" s="39" t="s">
        <v>136</v>
      </c>
    </row>
    <row r="40">
      <c r="A40" s="38" t="s">
        <v>784</v>
      </c>
      <c r="B40" s="38" t="s">
        <v>24</v>
      </c>
      <c r="C40" s="39" t="s">
        <v>792</v>
      </c>
      <c r="D40" s="8" t="s">
        <v>84</v>
      </c>
      <c r="E40" s="8" t="s">
        <v>590</v>
      </c>
      <c r="F40" s="39" t="s">
        <v>795</v>
      </c>
      <c r="G40" s="39" t="s">
        <v>487</v>
      </c>
      <c r="H40" s="39" t="s">
        <v>88</v>
      </c>
      <c r="I40" s="39" t="s">
        <v>799</v>
      </c>
      <c r="J40" s="39" t="s">
        <v>800</v>
      </c>
      <c r="K40" s="38" t="s">
        <v>802</v>
      </c>
      <c r="L40" s="8" t="s">
        <v>105</v>
      </c>
      <c r="M40" s="8" t="s">
        <v>105</v>
      </c>
      <c r="N40" s="39"/>
      <c r="O40" s="39" t="s">
        <v>496</v>
      </c>
    </row>
    <row r="41">
      <c r="A41" s="38" t="s">
        <v>806</v>
      </c>
      <c r="B41" s="38" t="s">
        <v>24</v>
      </c>
      <c r="C41" s="39" t="s">
        <v>808</v>
      </c>
      <c r="D41" s="8" t="s">
        <v>84</v>
      </c>
      <c r="E41" s="8" t="s">
        <v>590</v>
      </c>
      <c r="F41" s="39" t="s">
        <v>809</v>
      </c>
      <c r="G41" s="39" t="s">
        <v>487</v>
      </c>
      <c r="H41" s="39" t="s">
        <v>88</v>
      </c>
      <c r="I41" s="39" t="s">
        <v>811</v>
      </c>
      <c r="J41" s="39" t="s">
        <v>800</v>
      </c>
      <c r="K41" s="38" t="s">
        <v>802</v>
      </c>
      <c r="L41" s="8" t="s">
        <v>105</v>
      </c>
      <c r="M41" s="8" t="s">
        <v>105</v>
      </c>
      <c r="N41" s="39"/>
      <c r="O41" s="39" t="s">
        <v>496</v>
      </c>
    </row>
    <row r="42">
      <c r="A42" s="38" t="s">
        <v>813</v>
      </c>
      <c r="B42" s="38" t="s">
        <v>24</v>
      </c>
      <c r="C42" s="39" t="s">
        <v>815</v>
      </c>
      <c r="D42" s="8" t="s">
        <v>84</v>
      </c>
      <c r="E42" s="8" t="s">
        <v>590</v>
      </c>
      <c r="F42" s="39" t="s">
        <v>816</v>
      </c>
      <c r="G42" s="39" t="s">
        <v>487</v>
      </c>
      <c r="H42" s="39" t="s">
        <v>88</v>
      </c>
      <c r="I42" s="39" t="s">
        <v>817</v>
      </c>
      <c r="J42" s="39" t="s">
        <v>818</v>
      </c>
      <c r="K42" s="38" t="s">
        <v>91</v>
      </c>
      <c r="L42" s="8" t="s">
        <v>105</v>
      </c>
      <c r="M42" s="8" t="s">
        <v>105</v>
      </c>
      <c r="N42" s="39"/>
      <c r="O42" s="39" t="s">
        <v>636</v>
      </c>
    </row>
    <row r="43">
      <c r="A43" s="38" t="s">
        <v>819</v>
      </c>
      <c r="B43" s="38" t="s">
        <v>24</v>
      </c>
      <c r="C43" s="39" t="s">
        <v>498</v>
      </c>
      <c r="D43" s="8" t="s">
        <v>84</v>
      </c>
      <c r="E43" s="8" t="s">
        <v>590</v>
      </c>
      <c r="F43" s="39" t="s">
        <v>822</v>
      </c>
      <c r="G43" s="39" t="s">
        <v>499</v>
      </c>
      <c r="H43" s="39" t="s">
        <v>88</v>
      </c>
      <c r="I43" s="39" t="s">
        <v>197</v>
      </c>
      <c r="J43" s="39" t="s">
        <v>142</v>
      </c>
      <c r="K43" s="38" t="s">
        <v>91</v>
      </c>
      <c r="L43" s="8" t="s">
        <v>92</v>
      </c>
      <c r="M43" s="8" t="s">
        <v>92</v>
      </c>
      <c r="N43" s="39"/>
      <c r="O43" s="39" t="s">
        <v>206</v>
      </c>
    </row>
    <row r="44">
      <c r="A44" s="38" t="s">
        <v>823</v>
      </c>
      <c r="B44" s="38" t="s">
        <v>24</v>
      </c>
      <c r="C44" s="39" t="s">
        <v>502</v>
      </c>
      <c r="D44" s="8" t="s">
        <v>84</v>
      </c>
      <c r="E44" s="8" t="s">
        <v>590</v>
      </c>
      <c r="F44" s="39" t="s">
        <v>822</v>
      </c>
      <c r="G44" s="39" t="s">
        <v>503</v>
      </c>
      <c r="H44" s="39" t="s">
        <v>88</v>
      </c>
      <c r="I44" s="39" t="s">
        <v>504</v>
      </c>
      <c r="J44" s="39"/>
      <c r="K44" s="38" t="s">
        <v>172</v>
      </c>
      <c r="L44" s="8" t="s">
        <v>92</v>
      </c>
      <c r="M44" s="8" t="s">
        <v>92</v>
      </c>
      <c r="N44" s="39"/>
      <c r="O44" s="39" t="s">
        <v>174</v>
      </c>
    </row>
    <row r="45">
      <c r="A45" s="38" t="s">
        <v>826</v>
      </c>
      <c r="B45" s="38" t="s">
        <v>24</v>
      </c>
      <c r="C45" s="39" t="s">
        <v>828</v>
      </c>
      <c r="D45" s="8" t="s">
        <v>84</v>
      </c>
      <c r="E45" s="8" t="s">
        <v>590</v>
      </c>
      <c r="F45" s="39" t="s">
        <v>830</v>
      </c>
      <c r="G45" s="39" t="s">
        <v>487</v>
      </c>
      <c r="H45" s="39" t="s">
        <v>834</v>
      </c>
      <c r="I45" s="39" t="s">
        <v>835</v>
      </c>
      <c r="J45" s="39"/>
      <c r="K45" s="38" t="s">
        <v>172</v>
      </c>
      <c r="L45" s="8" t="s">
        <v>92</v>
      </c>
      <c r="M45" s="8" t="s">
        <v>92</v>
      </c>
      <c r="N45" s="39"/>
      <c r="O45" s="39" t="s">
        <v>206</v>
      </c>
    </row>
    <row r="46">
      <c r="A46" s="38" t="s">
        <v>837</v>
      </c>
      <c r="B46" s="38" t="s">
        <v>24</v>
      </c>
      <c r="C46" s="39" t="s">
        <v>839</v>
      </c>
      <c r="D46" s="8" t="s">
        <v>84</v>
      </c>
      <c r="E46" s="8" t="s">
        <v>590</v>
      </c>
      <c r="F46" s="39" t="s">
        <v>845</v>
      </c>
      <c r="G46" s="39" t="s">
        <v>487</v>
      </c>
      <c r="H46" s="39" t="s">
        <v>834</v>
      </c>
      <c r="I46" s="39" t="s">
        <v>847</v>
      </c>
      <c r="J46" s="39"/>
      <c r="K46" s="38" t="s">
        <v>172</v>
      </c>
      <c r="L46" s="8" t="s">
        <v>92</v>
      </c>
      <c r="M46" s="8" t="s">
        <v>92</v>
      </c>
      <c r="N46" s="39"/>
      <c r="O46" s="39" t="s">
        <v>206</v>
      </c>
    </row>
    <row r="47">
      <c r="A47" s="38" t="s">
        <v>849</v>
      </c>
      <c r="B47" s="38" t="s">
        <v>24</v>
      </c>
      <c r="C47" s="39" t="s">
        <v>506</v>
      </c>
      <c r="D47" s="8" t="s">
        <v>84</v>
      </c>
      <c r="E47" s="8" t="s">
        <v>590</v>
      </c>
      <c r="F47" s="39" t="s">
        <v>822</v>
      </c>
      <c r="G47" s="39" t="s">
        <v>543</v>
      </c>
      <c r="H47" s="39" t="s">
        <v>88</v>
      </c>
      <c r="I47" s="39" t="s">
        <v>850</v>
      </c>
      <c r="J47" s="39" t="s">
        <v>144</v>
      </c>
      <c r="K47" s="38" t="s">
        <v>91</v>
      </c>
      <c r="L47" s="8" t="s">
        <v>121</v>
      </c>
      <c r="M47" s="8" t="s">
        <v>121</v>
      </c>
      <c r="N47" s="39"/>
      <c r="O47" s="39" t="s">
        <v>853</v>
      </c>
    </row>
    <row r="48">
      <c r="A48" s="38" t="s">
        <v>854</v>
      </c>
      <c r="B48" s="38" t="s">
        <v>24</v>
      </c>
      <c r="C48" s="39" t="s">
        <v>857</v>
      </c>
      <c r="D48" s="8" t="s">
        <v>84</v>
      </c>
      <c r="E48" s="8" t="s">
        <v>590</v>
      </c>
      <c r="F48" s="39" t="s">
        <v>751</v>
      </c>
      <c r="G48" s="39" t="s">
        <v>862</v>
      </c>
      <c r="H48" s="39" t="s">
        <v>88</v>
      </c>
      <c r="I48" s="39" t="s">
        <v>863</v>
      </c>
      <c r="J48" s="39" t="s">
        <v>864</v>
      </c>
      <c r="K48" s="38" t="s">
        <v>91</v>
      </c>
      <c r="L48" s="8" t="s">
        <v>121</v>
      </c>
      <c r="M48" s="8" t="s">
        <v>121</v>
      </c>
      <c r="N48" s="39"/>
      <c r="O48" s="39" t="s">
        <v>865</v>
      </c>
    </row>
    <row r="49">
      <c r="A49" s="38" t="s">
        <v>868</v>
      </c>
      <c r="B49" s="38" t="s">
        <v>24</v>
      </c>
      <c r="C49" s="39" t="s">
        <v>870</v>
      </c>
      <c r="D49" s="8" t="s">
        <v>84</v>
      </c>
      <c r="E49" s="8" t="s">
        <v>590</v>
      </c>
      <c r="F49" s="39" t="s">
        <v>822</v>
      </c>
      <c r="G49" s="39" t="s">
        <v>872</v>
      </c>
      <c r="H49" s="39" t="s">
        <v>88</v>
      </c>
      <c r="I49" s="39" t="s">
        <v>568</v>
      </c>
      <c r="J49" s="39" t="s">
        <v>144</v>
      </c>
      <c r="K49" s="38" t="s">
        <v>91</v>
      </c>
      <c r="L49" s="8" t="s">
        <v>121</v>
      </c>
      <c r="M49" s="8" t="s">
        <v>121</v>
      </c>
      <c r="N49" s="39"/>
      <c r="O49" s="39" t="s">
        <v>278</v>
      </c>
    </row>
    <row r="50">
      <c r="A50" s="38" t="s">
        <v>876</v>
      </c>
      <c r="B50" s="38" t="s">
        <v>24</v>
      </c>
      <c r="C50" s="39" t="s">
        <v>516</v>
      </c>
      <c r="D50" s="8" t="s">
        <v>84</v>
      </c>
      <c r="E50" s="8" t="s">
        <v>590</v>
      </c>
      <c r="F50" s="39" t="s">
        <v>822</v>
      </c>
      <c r="G50" s="39" t="s">
        <v>543</v>
      </c>
      <c r="H50" s="39" t="s">
        <v>88</v>
      </c>
      <c r="I50" s="39" t="s">
        <v>329</v>
      </c>
      <c r="J50" s="39" t="s">
        <v>144</v>
      </c>
      <c r="K50" s="38" t="s">
        <v>91</v>
      </c>
      <c r="L50" s="8" t="s">
        <v>121</v>
      </c>
      <c r="M50" s="8" t="s">
        <v>121</v>
      </c>
      <c r="N50" s="39"/>
      <c r="O50" s="39" t="s">
        <v>879</v>
      </c>
    </row>
    <row r="51">
      <c r="A51" s="38" t="s">
        <v>881</v>
      </c>
      <c r="B51" s="38" t="s">
        <v>24</v>
      </c>
      <c r="C51" s="39" t="s">
        <v>520</v>
      </c>
      <c r="D51" s="8" t="s">
        <v>84</v>
      </c>
      <c r="E51" s="8" t="s">
        <v>590</v>
      </c>
      <c r="F51" s="39" t="s">
        <v>822</v>
      </c>
      <c r="G51" s="39" t="s">
        <v>523</v>
      </c>
      <c r="H51" s="39" t="s">
        <v>88</v>
      </c>
      <c r="I51" s="39" t="s">
        <v>262</v>
      </c>
      <c r="J51" s="39" t="s">
        <v>144</v>
      </c>
      <c r="K51" s="38" t="s">
        <v>91</v>
      </c>
      <c r="L51" s="8" t="s">
        <v>92</v>
      </c>
      <c r="M51" s="8" t="s">
        <v>92</v>
      </c>
      <c r="N51" s="39"/>
      <c r="O51" s="39" t="s">
        <v>527</v>
      </c>
    </row>
    <row r="52">
      <c r="A52" s="44" t="s">
        <v>886</v>
      </c>
      <c r="B52" s="23"/>
      <c r="C52" s="23"/>
      <c r="D52" s="23"/>
      <c r="E52" s="23"/>
      <c r="F52" s="23"/>
      <c r="G52" s="23"/>
      <c r="H52" s="23"/>
      <c r="I52" s="23"/>
      <c r="J52" s="23"/>
      <c r="K52" s="23"/>
      <c r="L52" s="23"/>
      <c r="M52" s="23"/>
      <c r="N52" s="23"/>
      <c r="O52" s="23"/>
      <c r="P52" s="23"/>
      <c r="Q52" s="23"/>
      <c r="R52" s="23"/>
      <c r="S52" s="23"/>
      <c r="T52" s="23"/>
      <c r="U52" s="23"/>
      <c r="V52" s="23"/>
      <c r="W52" s="23"/>
      <c r="X52" s="23"/>
      <c r="Y52" s="23"/>
      <c r="Z52" s="24"/>
    </row>
    <row r="53">
      <c r="A53" s="38" t="s">
        <v>889</v>
      </c>
      <c r="B53" s="38" t="s">
        <v>24</v>
      </c>
      <c r="C53" s="39" t="s">
        <v>890</v>
      </c>
      <c r="D53" s="8" t="s">
        <v>342</v>
      </c>
      <c r="E53" s="8" t="s">
        <v>410</v>
      </c>
      <c r="F53" s="39" t="s">
        <v>892</v>
      </c>
      <c r="G53" s="39" t="s">
        <v>893</v>
      </c>
      <c r="H53" s="39" t="s">
        <v>894</v>
      </c>
      <c r="I53" s="39" t="s">
        <v>895</v>
      </c>
      <c r="J53" s="39" t="s">
        <v>896</v>
      </c>
      <c r="K53" s="38" t="s">
        <v>91</v>
      </c>
      <c r="L53" s="8" t="s">
        <v>127</v>
      </c>
      <c r="M53" s="8" t="s">
        <v>127</v>
      </c>
      <c r="N53" s="39"/>
      <c r="O53" s="39" t="s">
        <v>130</v>
      </c>
    </row>
    <row r="54">
      <c r="A54" s="38" t="s">
        <v>898</v>
      </c>
      <c r="B54" s="38" t="s">
        <v>24</v>
      </c>
      <c r="C54" s="39" t="s">
        <v>899</v>
      </c>
      <c r="D54" s="8" t="s">
        <v>342</v>
      </c>
      <c r="E54" s="8" t="s">
        <v>410</v>
      </c>
      <c r="F54" s="39" t="s">
        <v>901</v>
      </c>
      <c r="G54" s="39" t="s">
        <v>507</v>
      </c>
      <c r="H54" s="39" t="s">
        <v>846</v>
      </c>
      <c r="I54" s="39" t="s">
        <v>903</v>
      </c>
      <c r="J54" s="39" t="s">
        <v>904</v>
      </c>
      <c r="K54" s="38" t="s">
        <v>91</v>
      </c>
      <c r="L54" s="8" t="s">
        <v>127</v>
      </c>
      <c r="M54" s="8" t="s">
        <v>127</v>
      </c>
      <c r="N54" s="39"/>
      <c r="O54" s="39" t="s">
        <v>905</v>
      </c>
    </row>
    <row r="55">
      <c r="A55" s="38" t="s">
        <v>906</v>
      </c>
      <c r="B55" s="38" t="s">
        <v>24</v>
      </c>
      <c r="C55" s="39" t="s">
        <v>909</v>
      </c>
      <c r="D55" s="8" t="s">
        <v>342</v>
      </c>
      <c r="E55" s="8" t="s">
        <v>410</v>
      </c>
      <c r="F55" s="39" t="s">
        <v>910</v>
      </c>
      <c r="G55" s="39" t="s">
        <v>507</v>
      </c>
      <c r="H55" s="39" t="s">
        <v>846</v>
      </c>
      <c r="I55" s="39" t="s">
        <v>913</v>
      </c>
      <c r="J55" s="39" t="s">
        <v>144</v>
      </c>
      <c r="K55" s="38" t="s">
        <v>91</v>
      </c>
      <c r="L55" s="8" t="s">
        <v>105</v>
      </c>
      <c r="M55" s="8" t="s">
        <v>92</v>
      </c>
      <c r="N55" s="39"/>
      <c r="O55" s="39" t="s">
        <v>107</v>
      </c>
    </row>
    <row r="56">
      <c r="A56" s="38" t="s">
        <v>914</v>
      </c>
      <c r="B56" s="38" t="s">
        <v>24</v>
      </c>
      <c r="C56" s="39" t="s">
        <v>915</v>
      </c>
      <c r="D56" s="8" t="s">
        <v>342</v>
      </c>
      <c r="E56" s="8" t="s">
        <v>410</v>
      </c>
      <c r="F56" s="39" t="s">
        <v>916</v>
      </c>
      <c r="G56" s="39" t="s">
        <v>507</v>
      </c>
      <c r="H56" s="39" t="s">
        <v>846</v>
      </c>
      <c r="I56" s="39" t="s">
        <v>918</v>
      </c>
      <c r="J56" s="39" t="s">
        <v>144</v>
      </c>
      <c r="K56" s="38" t="s">
        <v>91</v>
      </c>
      <c r="L56" s="8" t="s">
        <v>105</v>
      </c>
      <c r="M56" s="8" t="s">
        <v>105</v>
      </c>
      <c r="N56" s="39"/>
      <c r="O56" s="39" t="s">
        <v>919</v>
      </c>
    </row>
    <row r="57">
      <c r="A57" s="38" t="s">
        <v>920</v>
      </c>
      <c r="B57" s="38" t="s">
        <v>24</v>
      </c>
      <c r="C57" s="39" t="s">
        <v>921</v>
      </c>
      <c r="D57" s="8" t="s">
        <v>342</v>
      </c>
      <c r="E57" s="8" t="s">
        <v>410</v>
      </c>
      <c r="F57" s="39" t="s">
        <v>333</v>
      </c>
      <c r="G57" s="39" t="s">
        <v>203</v>
      </c>
      <c r="H57" s="39" t="s">
        <v>846</v>
      </c>
      <c r="I57" s="39" t="s">
        <v>141</v>
      </c>
      <c r="J57" s="39" t="s">
        <v>142</v>
      </c>
      <c r="K57" s="38" t="s">
        <v>91</v>
      </c>
      <c r="L57" s="8" t="s">
        <v>92</v>
      </c>
      <c r="M57" s="8" t="s">
        <v>92</v>
      </c>
      <c r="N57" s="39"/>
      <c r="O57" s="39" t="s">
        <v>922</v>
      </c>
    </row>
    <row r="58">
      <c r="A58" s="38" t="s">
        <v>923</v>
      </c>
      <c r="B58" s="38" t="s">
        <v>24</v>
      </c>
      <c r="C58" s="39" t="s">
        <v>925</v>
      </c>
      <c r="D58" s="8" t="s">
        <v>342</v>
      </c>
      <c r="E58" s="8" t="s">
        <v>410</v>
      </c>
      <c r="F58" s="39" t="s">
        <v>333</v>
      </c>
      <c r="G58" s="39" t="s">
        <v>927</v>
      </c>
      <c r="H58" s="39" t="s">
        <v>846</v>
      </c>
      <c r="I58" s="39" t="s">
        <v>275</v>
      </c>
      <c r="J58" s="39" t="s">
        <v>144</v>
      </c>
      <c r="K58" s="38" t="s">
        <v>91</v>
      </c>
      <c r="L58" s="8" t="s">
        <v>105</v>
      </c>
      <c r="M58" s="8" t="s">
        <v>105</v>
      </c>
      <c r="N58" s="39"/>
      <c r="O58" s="39" t="s">
        <v>844</v>
      </c>
    </row>
    <row r="59">
      <c r="A59" s="38" t="s">
        <v>931</v>
      </c>
      <c r="B59" s="38" t="s">
        <v>24</v>
      </c>
      <c r="C59" s="39" t="s">
        <v>932</v>
      </c>
      <c r="D59" s="8" t="s">
        <v>342</v>
      </c>
      <c r="E59" s="8" t="s">
        <v>410</v>
      </c>
      <c r="F59" s="39" t="s">
        <v>333</v>
      </c>
      <c r="G59" s="39"/>
      <c r="H59" s="39" t="s">
        <v>846</v>
      </c>
      <c r="I59" s="39" t="s">
        <v>918</v>
      </c>
      <c r="J59" s="39" t="s">
        <v>144</v>
      </c>
      <c r="K59" s="38" t="s">
        <v>91</v>
      </c>
      <c r="L59" s="8" t="s">
        <v>105</v>
      </c>
      <c r="M59" s="8" t="s">
        <v>105</v>
      </c>
      <c r="N59" s="39"/>
      <c r="O59" s="39" t="s">
        <v>755</v>
      </c>
    </row>
    <row r="60">
      <c r="A60" s="38" t="s">
        <v>936</v>
      </c>
      <c r="B60" s="38" t="s">
        <v>24</v>
      </c>
      <c r="C60" s="39" t="s">
        <v>937</v>
      </c>
      <c r="D60" s="8" t="s">
        <v>342</v>
      </c>
      <c r="E60" s="8" t="s">
        <v>410</v>
      </c>
      <c r="F60" s="39" t="s">
        <v>333</v>
      </c>
      <c r="G60" s="39" t="s">
        <v>507</v>
      </c>
      <c r="H60" s="39" t="s">
        <v>846</v>
      </c>
      <c r="I60" s="39" t="s">
        <v>698</v>
      </c>
      <c r="J60" s="39" t="s">
        <v>144</v>
      </c>
      <c r="K60" s="38" t="s">
        <v>91</v>
      </c>
      <c r="L60" s="8" t="s">
        <v>127</v>
      </c>
      <c r="M60" s="8" t="s">
        <v>127</v>
      </c>
      <c r="N60" s="39"/>
      <c r="O60" s="39" t="s">
        <v>100</v>
      </c>
    </row>
    <row r="61">
      <c r="A61" s="38" t="s">
        <v>938</v>
      </c>
      <c r="B61" s="38" t="s">
        <v>24</v>
      </c>
      <c r="C61" s="39" t="s">
        <v>939</v>
      </c>
      <c r="D61" s="8" t="s">
        <v>342</v>
      </c>
      <c r="E61" s="8" t="s">
        <v>410</v>
      </c>
      <c r="F61" s="39" t="s">
        <v>333</v>
      </c>
      <c r="G61" s="39" t="s">
        <v>507</v>
      </c>
      <c r="H61" s="39" t="s">
        <v>846</v>
      </c>
      <c r="I61" s="39" t="s">
        <v>183</v>
      </c>
      <c r="J61" s="39" t="s">
        <v>144</v>
      </c>
      <c r="K61" s="38" t="s">
        <v>91</v>
      </c>
      <c r="L61" s="8" t="s">
        <v>121</v>
      </c>
      <c r="M61" s="8" t="s">
        <v>121</v>
      </c>
      <c r="N61" s="39"/>
      <c r="O61" s="39" t="s">
        <v>722</v>
      </c>
    </row>
    <row r="62">
      <c r="A62" s="38" t="s">
        <v>943</v>
      </c>
      <c r="B62" s="38" t="s">
        <v>24</v>
      </c>
      <c r="C62" s="39" t="s">
        <v>944</v>
      </c>
      <c r="D62" s="8" t="s">
        <v>342</v>
      </c>
      <c r="E62" s="8" t="s">
        <v>410</v>
      </c>
      <c r="F62" s="39" t="s">
        <v>946</v>
      </c>
      <c r="G62" s="39" t="s">
        <v>507</v>
      </c>
      <c r="H62" s="39" t="s">
        <v>947</v>
      </c>
      <c r="I62" s="39" t="s">
        <v>913</v>
      </c>
      <c r="J62" s="39" t="s">
        <v>144</v>
      </c>
      <c r="K62" s="38" t="s">
        <v>91</v>
      </c>
      <c r="L62" s="8" t="s">
        <v>105</v>
      </c>
      <c r="M62" s="8" t="s">
        <v>92</v>
      </c>
      <c r="N62" s="39"/>
      <c r="O62" s="39" t="s">
        <v>949</v>
      </c>
    </row>
    <row r="63">
      <c r="A63" s="38" t="s">
        <v>950</v>
      </c>
      <c r="B63" s="38" t="s">
        <v>24</v>
      </c>
      <c r="C63" s="39" t="s">
        <v>951</v>
      </c>
      <c r="D63" s="8" t="s">
        <v>342</v>
      </c>
      <c r="E63" s="8" t="s">
        <v>410</v>
      </c>
      <c r="F63" s="39" t="s">
        <v>952</v>
      </c>
      <c r="G63" s="39" t="s">
        <v>507</v>
      </c>
      <c r="H63" s="39" t="s">
        <v>846</v>
      </c>
      <c r="I63" s="39" t="s">
        <v>913</v>
      </c>
      <c r="J63" s="39" t="s">
        <v>144</v>
      </c>
      <c r="K63" s="38" t="s">
        <v>91</v>
      </c>
      <c r="L63" s="8" t="s">
        <v>105</v>
      </c>
      <c r="M63" s="8" t="s">
        <v>105</v>
      </c>
      <c r="N63" s="39"/>
      <c r="O63" s="39" t="s">
        <v>955</v>
      </c>
    </row>
    <row r="64">
      <c r="A64" s="38" t="s">
        <v>957</v>
      </c>
      <c r="B64" s="38" t="s">
        <v>24</v>
      </c>
      <c r="C64" s="39" t="s">
        <v>958</v>
      </c>
      <c r="D64" s="8" t="s">
        <v>342</v>
      </c>
      <c r="E64" s="8" t="s">
        <v>410</v>
      </c>
      <c r="F64" s="39" t="s">
        <v>960</v>
      </c>
      <c r="G64" s="39" t="s">
        <v>507</v>
      </c>
      <c r="H64" s="39" t="s">
        <v>846</v>
      </c>
      <c r="I64" s="39" t="s">
        <v>913</v>
      </c>
      <c r="J64" s="39" t="s">
        <v>144</v>
      </c>
      <c r="K64" s="38" t="s">
        <v>91</v>
      </c>
      <c r="L64" s="8" t="s">
        <v>121</v>
      </c>
      <c r="M64" s="8" t="s">
        <v>121</v>
      </c>
      <c r="N64" s="39"/>
      <c r="O64" s="39" t="s">
        <v>100</v>
      </c>
    </row>
    <row r="65">
      <c r="A65" s="38" t="s">
        <v>963</v>
      </c>
      <c r="B65" s="38" t="s">
        <v>24</v>
      </c>
      <c r="C65" s="39" t="s">
        <v>964</v>
      </c>
      <c r="D65" s="8" t="s">
        <v>342</v>
      </c>
      <c r="E65" s="8" t="s">
        <v>410</v>
      </c>
      <c r="F65" s="39" t="s">
        <v>333</v>
      </c>
      <c r="G65" s="39" t="s">
        <v>966</v>
      </c>
      <c r="H65" s="39" t="s">
        <v>846</v>
      </c>
      <c r="I65" s="39" t="s">
        <v>967</v>
      </c>
      <c r="J65" s="39"/>
      <c r="K65" s="38" t="s">
        <v>172</v>
      </c>
      <c r="L65" s="8" t="s">
        <v>92</v>
      </c>
      <c r="M65" s="8" t="s">
        <v>92</v>
      </c>
      <c r="N65" s="39"/>
      <c r="O65" s="39" t="s">
        <v>791</v>
      </c>
    </row>
    <row r="66">
      <c r="A66" s="38" t="s">
        <v>973</v>
      </c>
      <c r="B66" s="38" t="s">
        <v>24</v>
      </c>
      <c r="C66" s="39" t="s">
        <v>974</v>
      </c>
      <c r="D66" s="8" t="s">
        <v>342</v>
      </c>
      <c r="E66" s="8" t="s">
        <v>410</v>
      </c>
      <c r="F66" s="39" t="s">
        <v>333</v>
      </c>
      <c r="G66" s="39" t="s">
        <v>233</v>
      </c>
      <c r="H66" s="39" t="s">
        <v>846</v>
      </c>
      <c r="I66" s="39" t="s">
        <v>141</v>
      </c>
      <c r="J66" s="39" t="s">
        <v>144</v>
      </c>
      <c r="K66" s="38" t="s">
        <v>91</v>
      </c>
      <c r="L66" s="8" t="s">
        <v>92</v>
      </c>
      <c r="M66" s="8" t="s">
        <v>92</v>
      </c>
      <c r="N66" s="39"/>
      <c r="O66" s="39" t="s">
        <v>151</v>
      </c>
    </row>
    <row r="67">
      <c r="A67" s="38" t="s">
        <v>975</v>
      </c>
      <c r="B67" s="38" t="s">
        <v>24</v>
      </c>
      <c r="C67" s="39" t="s">
        <v>976</v>
      </c>
      <c r="D67" s="8" t="s">
        <v>342</v>
      </c>
      <c r="E67" s="8" t="s">
        <v>410</v>
      </c>
      <c r="F67" s="39" t="s">
        <v>333</v>
      </c>
      <c r="G67" s="39" t="s">
        <v>977</v>
      </c>
      <c r="H67" s="39" t="s">
        <v>978</v>
      </c>
      <c r="I67" s="39" t="s">
        <v>979</v>
      </c>
      <c r="J67" s="39"/>
      <c r="K67" s="38" t="s">
        <v>172</v>
      </c>
      <c r="L67" s="8" t="s">
        <v>121</v>
      </c>
      <c r="M67" s="8" t="s">
        <v>121</v>
      </c>
      <c r="N67" s="39"/>
      <c r="O67" s="39" t="s">
        <v>981</v>
      </c>
    </row>
    <row r="68">
      <c r="A68" s="44" t="s">
        <v>982</v>
      </c>
      <c r="B68" s="23"/>
      <c r="C68" s="23"/>
      <c r="D68" s="23"/>
      <c r="E68" s="23"/>
      <c r="F68" s="23"/>
      <c r="G68" s="23"/>
      <c r="H68" s="23"/>
      <c r="I68" s="23"/>
      <c r="J68" s="23"/>
      <c r="K68" s="23"/>
      <c r="L68" s="23"/>
      <c r="M68" s="23"/>
      <c r="N68" s="23"/>
      <c r="O68" s="23"/>
      <c r="P68" s="23"/>
      <c r="Q68" s="23"/>
      <c r="R68" s="23"/>
      <c r="S68" s="23"/>
      <c r="T68" s="23"/>
      <c r="U68" s="23"/>
      <c r="V68" s="23"/>
      <c r="W68" s="23"/>
      <c r="X68" s="23"/>
      <c r="Y68" s="23"/>
      <c r="Z68" s="24"/>
    </row>
    <row r="69">
      <c r="A69" s="38" t="s">
        <v>986</v>
      </c>
      <c r="B69" s="38" t="s">
        <v>24</v>
      </c>
      <c r="C69" s="39" t="s">
        <v>987</v>
      </c>
      <c r="D69" s="8" t="s">
        <v>734</v>
      </c>
      <c r="E69" s="8" t="s">
        <v>410</v>
      </c>
      <c r="F69" s="39" t="s">
        <v>989</v>
      </c>
      <c r="G69" s="39" t="s">
        <v>893</v>
      </c>
      <c r="H69" s="39" t="s">
        <v>750</v>
      </c>
      <c r="I69" s="39" t="s">
        <v>990</v>
      </c>
      <c r="J69" s="39" t="s">
        <v>991</v>
      </c>
      <c r="K69" s="38" t="s">
        <v>91</v>
      </c>
      <c r="L69" s="8" t="s">
        <v>127</v>
      </c>
      <c r="M69" s="8" t="s">
        <v>127</v>
      </c>
      <c r="N69" s="39"/>
      <c r="O69" s="39" t="s">
        <v>130</v>
      </c>
    </row>
    <row r="70">
      <c r="A70" s="38" t="s">
        <v>995</v>
      </c>
      <c r="B70" s="38" t="s">
        <v>24</v>
      </c>
      <c r="C70" s="39" t="s">
        <v>996</v>
      </c>
      <c r="D70" s="8" t="s">
        <v>84</v>
      </c>
      <c r="E70" s="8" t="s">
        <v>410</v>
      </c>
      <c r="F70" s="39" t="s">
        <v>1000</v>
      </c>
      <c r="G70" s="39" t="s">
        <v>1001</v>
      </c>
      <c r="H70" s="39" t="s">
        <v>88</v>
      </c>
      <c r="I70" s="39" t="s">
        <v>275</v>
      </c>
      <c r="J70" s="39" t="s">
        <v>1002</v>
      </c>
      <c r="K70" s="38" t="s">
        <v>91</v>
      </c>
      <c r="L70" s="8" t="s">
        <v>127</v>
      </c>
      <c r="M70" s="8" t="s">
        <v>127</v>
      </c>
      <c r="N70" s="39"/>
      <c r="O70" s="39" t="s">
        <v>387</v>
      </c>
    </row>
    <row r="71">
      <c r="A71" s="38" t="s">
        <v>1004</v>
      </c>
      <c r="B71" s="38" t="s">
        <v>24</v>
      </c>
      <c r="C71" s="39" t="s">
        <v>1005</v>
      </c>
      <c r="D71" s="8" t="s">
        <v>734</v>
      </c>
      <c r="E71" s="8" t="s">
        <v>410</v>
      </c>
      <c r="F71" s="39" t="s">
        <v>736</v>
      </c>
      <c r="G71" s="39" t="s">
        <v>203</v>
      </c>
      <c r="H71" s="39" t="s">
        <v>750</v>
      </c>
      <c r="I71" s="39" t="s">
        <v>141</v>
      </c>
      <c r="J71" s="39" t="s">
        <v>1006</v>
      </c>
      <c r="K71" s="38" t="s">
        <v>91</v>
      </c>
      <c r="L71" s="8" t="s">
        <v>92</v>
      </c>
      <c r="M71" s="8" t="s">
        <v>92</v>
      </c>
      <c r="N71" s="39"/>
      <c r="O71" s="39" t="s">
        <v>922</v>
      </c>
    </row>
    <row r="72">
      <c r="A72" s="38" t="s">
        <v>1008</v>
      </c>
      <c r="B72" s="38" t="s">
        <v>24</v>
      </c>
      <c r="C72" s="39" t="s">
        <v>1009</v>
      </c>
      <c r="D72" s="8" t="s">
        <v>734</v>
      </c>
      <c r="E72" s="8" t="s">
        <v>410</v>
      </c>
      <c r="F72" s="39" t="s">
        <v>736</v>
      </c>
      <c r="G72" s="39" t="s">
        <v>966</v>
      </c>
      <c r="H72" s="39" t="s">
        <v>750</v>
      </c>
      <c r="I72" s="39" t="s">
        <v>967</v>
      </c>
      <c r="J72" s="39"/>
      <c r="K72" s="38" t="s">
        <v>172</v>
      </c>
      <c r="L72" s="8" t="s">
        <v>92</v>
      </c>
      <c r="M72" s="8" t="s">
        <v>92</v>
      </c>
      <c r="N72" s="39"/>
      <c r="O72" s="39" t="s">
        <v>214</v>
      </c>
    </row>
    <row r="73">
      <c r="A73" s="38" t="s">
        <v>1011</v>
      </c>
      <c r="B73" s="38" t="s">
        <v>24</v>
      </c>
      <c r="C73" s="39" t="s">
        <v>1012</v>
      </c>
      <c r="D73" s="8" t="s">
        <v>734</v>
      </c>
      <c r="E73" s="8" t="s">
        <v>410</v>
      </c>
      <c r="F73" s="39" t="s">
        <v>1013</v>
      </c>
      <c r="G73" s="39" t="s">
        <v>87</v>
      </c>
      <c r="H73" s="39" t="s">
        <v>750</v>
      </c>
      <c r="I73" s="39" t="s">
        <v>275</v>
      </c>
      <c r="J73" s="39" t="s">
        <v>1014</v>
      </c>
      <c r="K73" s="38" t="s">
        <v>91</v>
      </c>
      <c r="L73" s="8" t="s">
        <v>105</v>
      </c>
      <c r="M73" s="8" t="s">
        <v>105</v>
      </c>
      <c r="N73" s="39"/>
      <c r="O73" s="39" t="s">
        <v>1017</v>
      </c>
    </row>
    <row r="74">
      <c r="A74" s="38" t="s">
        <v>1018</v>
      </c>
      <c r="B74" s="38" t="s">
        <v>24</v>
      </c>
      <c r="C74" s="39" t="s">
        <v>1019</v>
      </c>
      <c r="D74" s="8" t="s">
        <v>734</v>
      </c>
      <c r="E74" s="8" t="s">
        <v>410</v>
      </c>
      <c r="F74" s="39" t="s">
        <v>844</v>
      </c>
      <c r="G74" s="39" t="s">
        <v>87</v>
      </c>
      <c r="H74" s="39" t="s">
        <v>750</v>
      </c>
      <c r="I74" s="39" t="s">
        <v>918</v>
      </c>
      <c r="J74" s="39" t="s">
        <v>144</v>
      </c>
      <c r="K74" s="38" t="s">
        <v>91</v>
      </c>
      <c r="L74" s="8" t="s">
        <v>105</v>
      </c>
      <c r="M74" s="8" t="s">
        <v>105</v>
      </c>
      <c r="N74" s="39"/>
      <c r="O74" s="39" t="s">
        <v>755</v>
      </c>
    </row>
    <row r="75">
      <c r="A75" s="38" t="s">
        <v>1022</v>
      </c>
      <c r="B75" s="38" t="s">
        <v>24</v>
      </c>
      <c r="C75" s="39" t="s">
        <v>1023</v>
      </c>
      <c r="D75" s="8" t="s">
        <v>734</v>
      </c>
      <c r="E75" s="8" t="s">
        <v>410</v>
      </c>
      <c r="F75" s="39" t="s">
        <v>1025</v>
      </c>
      <c r="G75" s="39" t="s">
        <v>1026</v>
      </c>
      <c r="H75" s="39" t="s">
        <v>1027</v>
      </c>
      <c r="I75" s="39" t="s">
        <v>275</v>
      </c>
      <c r="J75" s="39" t="s">
        <v>144</v>
      </c>
      <c r="K75" s="38" t="s">
        <v>91</v>
      </c>
      <c r="L75" s="8" t="s">
        <v>121</v>
      </c>
      <c r="M75" s="8" t="s">
        <v>121</v>
      </c>
      <c r="N75" s="39"/>
      <c r="O75" s="39" t="s">
        <v>1029</v>
      </c>
    </row>
    <row r="76">
      <c r="A76" s="38" t="s">
        <v>1031</v>
      </c>
      <c r="B76" s="38" t="s">
        <v>24</v>
      </c>
      <c r="C76" s="39" t="s">
        <v>1032</v>
      </c>
      <c r="D76" s="8" t="s">
        <v>734</v>
      </c>
      <c r="E76" s="8" t="s">
        <v>410</v>
      </c>
      <c r="F76" s="39" t="s">
        <v>736</v>
      </c>
      <c r="G76" s="39" t="s">
        <v>233</v>
      </c>
      <c r="H76" s="39" t="s">
        <v>750</v>
      </c>
      <c r="I76" s="39" t="s">
        <v>141</v>
      </c>
      <c r="J76" s="39" t="s">
        <v>1006</v>
      </c>
      <c r="K76" s="38" t="s">
        <v>91</v>
      </c>
      <c r="L76" s="8" t="s">
        <v>92</v>
      </c>
      <c r="M76" s="8" t="s">
        <v>92</v>
      </c>
      <c r="N76" s="39"/>
      <c r="O76" s="39" t="s">
        <v>151</v>
      </c>
    </row>
    <row r="77">
      <c r="A77" s="38" t="s">
        <v>1034</v>
      </c>
      <c r="B77" s="38" t="s">
        <v>24</v>
      </c>
      <c r="C77" s="39" t="s">
        <v>1035</v>
      </c>
      <c r="D77" s="8" t="s">
        <v>734</v>
      </c>
      <c r="E77" s="8" t="s">
        <v>410</v>
      </c>
      <c r="F77" s="39" t="s">
        <v>736</v>
      </c>
      <c r="G77" s="39" t="s">
        <v>507</v>
      </c>
      <c r="H77" s="39" t="s">
        <v>750</v>
      </c>
      <c r="I77" s="39" t="s">
        <v>183</v>
      </c>
      <c r="J77" s="39" t="s">
        <v>144</v>
      </c>
      <c r="K77" s="38" t="s">
        <v>172</v>
      </c>
      <c r="L77" s="8" t="s">
        <v>121</v>
      </c>
      <c r="M77" s="8" t="s">
        <v>121</v>
      </c>
      <c r="N77" s="39"/>
      <c r="O77" s="39" t="s">
        <v>278</v>
      </c>
    </row>
    <row r="78">
      <c r="A78" s="49"/>
      <c r="B78" s="23"/>
      <c r="C78" s="23"/>
      <c r="D78" s="23"/>
      <c r="E78" s="23"/>
      <c r="F78" s="23"/>
      <c r="G78" s="23"/>
      <c r="H78" s="23"/>
      <c r="I78" s="23"/>
      <c r="J78" s="23"/>
      <c r="K78" s="23"/>
      <c r="L78" s="23"/>
      <c r="M78" s="23"/>
      <c r="N78" s="23"/>
      <c r="O78" s="23"/>
      <c r="P78" s="23"/>
      <c r="Q78" s="23"/>
      <c r="R78" s="23"/>
      <c r="S78" s="23"/>
      <c r="T78" s="23"/>
      <c r="U78" s="23"/>
      <c r="V78" s="23"/>
      <c r="W78" s="23"/>
      <c r="X78" s="23"/>
      <c r="Y78" s="23"/>
      <c r="Z78" s="24"/>
    </row>
  </sheetData>
  <mergeCells count="7">
    <mergeCell ref="A3:Z3"/>
    <mergeCell ref="A13:Z13"/>
    <mergeCell ref="A22:Z22"/>
    <mergeCell ref="A34:Z34"/>
    <mergeCell ref="A52:Z52"/>
    <mergeCell ref="A68:Z68"/>
    <mergeCell ref="A78:Z78"/>
  </mergeCells>
  <dataValidations>
    <dataValidation type="list" allowBlank="1" showErrorMessage="1" sqref="D4:D12 D14:D21 D23:D33 D35:D51 D53:D67 D69:D77">
      <formula1>"GET,POST,PATCH,DELETE,PUT"</formula1>
    </dataValidation>
    <dataValidation type="list" allowBlank="1" showErrorMessage="1" sqref="L4:M12 L14:M21 L23:M33 L35:M51 L53:M67 L69:M77">
      <formula1>"High,Medium,Low,N/A,Critical"</formula1>
    </dataValidation>
    <dataValidation type="list" allowBlank="1" showErrorMessage="1" sqref="K4:K12 K14:K21 K23:K33 K35:K51 K53:K67 K69:K77">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29.0"/>
    <col customWidth="1" min="3" max="3" width="33.75"/>
    <col customWidth="1" min="4" max="4" width="17.88"/>
    <col customWidth="1" min="5" max="5" width="30.88"/>
    <col customWidth="1" min="6" max="6" width="31.63"/>
    <col customWidth="1" min="7" max="7" width="29.75"/>
    <col customWidth="1" min="8" max="8" width="30.25"/>
    <col customWidth="1" min="9" max="9" width="30.88"/>
    <col customWidth="1" min="10" max="10" width="33.25"/>
    <col customWidth="1" min="11" max="11" width="19.13"/>
    <col customWidth="1" min="12" max="12" width="16.63"/>
    <col customWidth="1" min="13" max="13" width="16.88"/>
    <col customWidth="1" min="14" max="14" width="20.88"/>
    <col customWidth="1" min="15" max="15" width="23.25"/>
  </cols>
  <sheetData>
    <row r="1">
      <c r="A1" s="63" t="s">
        <v>0</v>
      </c>
      <c r="B1" s="22" t="s">
        <v>13</v>
      </c>
      <c r="C1" s="25"/>
      <c r="D1" s="26"/>
      <c r="E1" s="28"/>
      <c r="F1" s="28"/>
      <c r="G1" s="28"/>
      <c r="H1" s="28"/>
      <c r="I1" s="28"/>
      <c r="J1" s="28"/>
      <c r="K1" s="28"/>
      <c r="L1" s="28"/>
      <c r="M1" s="28"/>
      <c r="N1" s="28"/>
      <c r="O1" s="28"/>
      <c r="P1" s="28"/>
      <c r="Q1" s="28"/>
      <c r="R1" s="28"/>
      <c r="S1" s="28"/>
      <c r="T1" s="28"/>
      <c r="U1" s="28"/>
      <c r="V1" s="28"/>
      <c r="W1" s="28"/>
      <c r="X1" s="28"/>
      <c r="Y1" s="28"/>
      <c r="Z1" s="28"/>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c r="P2" s="26"/>
      <c r="Q2" s="26"/>
      <c r="R2" s="26"/>
      <c r="S2" s="26"/>
      <c r="T2" s="26"/>
      <c r="U2" s="26"/>
      <c r="V2" s="26"/>
      <c r="W2" s="26"/>
      <c r="X2" s="26"/>
      <c r="Y2" s="26"/>
      <c r="Z2" s="26"/>
    </row>
    <row r="3" ht="33.0" customHeight="1">
      <c r="A3" s="49" t="s">
        <v>509</v>
      </c>
      <c r="B3" s="23"/>
      <c r="C3" s="23"/>
      <c r="D3" s="23"/>
      <c r="E3" s="23"/>
      <c r="F3" s="23"/>
      <c r="G3" s="23"/>
      <c r="H3" s="23"/>
      <c r="I3" s="23"/>
      <c r="J3" s="23"/>
      <c r="K3" s="23"/>
      <c r="L3" s="23"/>
      <c r="M3" s="23"/>
      <c r="N3" s="23"/>
      <c r="O3" s="23"/>
      <c r="P3" s="23"/>
      <c r="Q3" s="23"/>
      <c r="R3" s="23"/>
      <c r="S3" s="23"/>
      <c r="T3" s="23"/>
      <c r="U3" s="23"/>
      <c r="V3" s="23"/>
      <c r="W3" s="23"/>
      <c r="X3" s="23"/>
      <c r="Y3" s="23"/>
      <c r="Z3" s="24"/>
    </row>
    <row r="4">
      <c r="A4" s="50" t="s">
        <v>513</v>
      </c>
      <c r="B4" s="38" t="s">
        <v>30</v>
      </c>
      <c r="C4" s="64" t="s">
        <v>514</v>
      </c>
      <c r="D4" s="52" t="s">
        <v>84</v>
      </c>
      <c r="E4" s="64" t="s">
        <v>521</v>
      </c>
      <c r="F4" s="64" t="s">
        <v>127</v>
      </c>
      <c r="G4" s="64" t="s">
        <v>522</v>
      </c>
      <c r="H4" s="64" t="s">
        <v>88</v>
      </c>
      <c r="I4" s="64" t="s">
        <v>524</v>
      </c>
      <c r="J4" s="50" t="s">
        <v>525</v>
      </c>
      <c r="K4" s="38" t="s">
        <v>91</v>
      </c>
      <c r="L4" s="38" t="s">
        <v>127</v>
      </c>
      <c r="M4" s="38" t="s">
        <v>127</v>
      </c>
      <c r="N4" s="47"/>
      <c r="O4" s="47"/>
      <c r="P4" s="28"/>
      <c r="Q4" s="28"/>
      <c r="R4" s="28"/>
      <c r="S4" s="28"/>
      <c r="T4" s="28"/>
      <c r="U4" s="28"/>
      <c r="V4" s="28"/>
      <c r="W4" s="28"/>
      <c r="X4" s="28"/>
      <c r="Y4" s="28"/>
      <c r="Z4" s="28"/>
    </row>
    <row r="5">
      <c r="A5" s="50" t="s">
        <v>529</v>
      </c>
      <c r="B5" s="38" t="s">
        <v>30</v>
      </c>
      <c r="C5" s="64" t="s">
        <v>531</v>
      </c>
      <c r="D5" s="52" t="s">
        <v>84</v>
      </c>
      <c r="E5" s="64" t="s">
        <v>521</v>
      </c>
      <c r="F5" s="64" t="s">
        <v>127</v>
      </c>
      <c r="G5" s="64" t="s">
        <v>522</v>
      </c>
      <c r="H5" s="64" t="s">
        <v>88</v>
      </c>
      <c r="I5" s="64" t="s">
        <v>534</v>
      </c>
      <c r="J5" s="45" t="s">
        <v>144</v>
      </c>
      <c r="K5" s="38" t="s">
        <v>91</v>
      </c>
      <c r="L5" s="38" t="s">
        <v>127</v>
      </c>
      <c r="M5" s="38" t="s">
        <v>127</v>
      </c>
      <c r="N5" s="64"/>
      <c r="O5" s="64"/>
      <c r="P5" s="28"/>
      <c r="Q5" s="28"/>
      <c r="R5" s="28"/>
      <c r="S5" s="28"/>
      <c r="T5" s="28"/>
      <c r="U5" s="28"/>
      <c r="V5" s="28"/>
      <c r="W5" s="28"/>
      <c r="X5" s="28"/>
      <c r="Y5" s="28"/>
      <c r="Z5" s="28"/>
    </row>
    <row r="6">
      <c r="A6" s="50" t="s">
        <v>538</v>
      </c>
      <c r="B6" s="38" t="s">
        <v>30</v>
      </c>
      <c r="C6" s="64" t="s">
        <v>539</v>
      </c>
      <c r="D6" s="52" t="s">
        <v>84</v>
      </c>
      <c r="E6" s="64" t="s">
        <v>521</v>
      </c>
      <c r="F6" s="64" t="s">
        <v>127</v>
      </c>
      <c r="G6" s="64" t="s">
        <v>522</v>
      </c>
      <c r="H6" s="64" t="s">
        <v>97</v>
      </c>
      <c r="I6" s="64" t="s">
        <v>542</v>
      </c>
      <c r="J6" s="45" t="s">
        <v>144</v>
      </c>
      <c r="K6" s="38" t="s">
        <v>91</v>
      </c>
      <c r="L6" s="38" t="s">
        <v>127</v>
      </c>
      <c r="M6" s="38" t="s">
        <v>127</v>
      </c>
      <c r="N6" s="64"/>
      <c r="O6" s="64"/>
      <c r="P6" s="28"/>
      <c r="Q6" s="28"/>
      <c r="R6" s="28"/>
      <c r="S6" s="28"/>
      <c r="T6" s="28"/>
      <c r="U6" s="28"/>
      <c r="V6" s="28"/>
      <c r="W6" s="28"/>
      <c r="X6" s="28"/>
      <c r="Y6" s="28"/>
      <c r="Z6" s="28"/>
    </row>
    <row r="7">
      <c r="A7" s="50" t="s">
        <v>546</v>
      </c>
      <c r="B7" s="38" t="s">
        <v>30</v>
      </c>
      <c r="C7" s="64" t="s">
        <v>548</v>
      </c>
      <c r="D7" s="52" t="s">
        <v>84</v>
      </c>
      <c r="E7" s="64" t="s">
        <v>521</v>
      </c>
      <c r="F7" s="64" t="s">
        <v>127</v>
      </c>
      <c r="G7" s="64" t="s">
        <v>522</v>
      </c>
      <c r="H7" s="64" t="s">
        <v>97</v>
      </c>
      <c r="I7" s="64" t="s">
        <v>552</v>
      </c>
      <c r="J7" s="45" t="s">
        <v>144</v>
      </c>
      <c r="K7" s="38" t="s">
        <v>91</v>
      </c>
      <c r="L7" s="38" t="s">
        <v>127</v>
      </c>
      <c r="M7" s="38" t="s">
        <v>127</v>
      </c>
      <c r="N7" s="64"/>
      <c r="O7" s="64"/>
      <c r="P7" s="28"/>
      <c r="Q7" s="28"/>
      <c r="R7" s="28"/>
      <c r="S7" s="28"/>
      <c r="T7" s="28"/>
      <c r="U7" s="28"/>
      <c r="V7" s="28"/>
      <c r="W7" s="28"/>
      <c r="X7" s="28"/>
      <c r="Y7" s="28"/>
      <c r="Z7" s="28"/>
    </row>
    <row r="8">
      <c r="A8" s="50" t="s">
        <v>555</v>
      </c>
      <c r="B8" s="38" t="s">
        <v>30</v>
      </c>
      <c r="C8" s="64" t="s">
        <v>558</v>
      </c>
      <c r="D8" s="52" t="s">
        <v>84</v>
      </c>
      <c r="E8" s="64" t="s">
        <v>521</v>
      </c>
      <c r="F8" s="64" t="s">
        <v>127</v>
      </c>
      <c r="G8" s="64" t="s">
        <v>456</v>
      </c>
      <c r="H8" s="64" t="s">
        <v>97</v>
      </c>
      <c r="I8" s="64" t="s">
        <v>556</v>
      </c>
      <c r="J8" s="45" t="s">
        <v>560</v>
      </c>
      <c r="K8" s="38" t="s">
        <v>91</v>
      </c>
      <c r="L8" s="38" t="s">
        <v>127</v>
      </c>
      <c r="M8" s="38" t="s">
        <v>127</v>
      </c>
      <c r="N8" s="64"/>
      <c r="O8" s="64"/>
      <c r="P8" s="28"/>
      <c r="Q8" s="28"/>
      <c r="R8" s="28"/>
      <c r="S8" s="28"/>
      <c r="T8" s="28"/>
      <c r="U8" s="28"/>
      <c r="V8" s="28"/>
      <c r="W8" s="28"/>
      <c r="X8" s="28"/>
      <c r="Y8" s="28"/>
      <c r="Z8" s="28"/>
    </row>
    <row r="9">
      <c r="A9" s="50" t="s">
        <v>563</v>
      </c>
      <c r="B9" s="38" t="s">
        <v>30</v>
      </c>
      <c r="C9" s="64" t="s">
        <v>564</v>
      </c>
      <c r="D9" s="52" t="s">
        <v>84</v>
      </c>
      <c r="E9" s="64" t="s">
        <v>521</v>
      </c>
      <c r="F9" s="64" t="s">
        <v>127</v>
      </c>
      <c r="G9" s="64" t="s">
        <v>242</v>
      </c>
      <c r="H9" s="64" t="s">
        <v>97</v>
      </c>
      <c r="I9" s="64" t="s">
        <v>556</v>
      </c>
      <c r="J9" s="45" t="s">
        <v>144</v>
      </c>
      <c r="K9" s="38" t="s">
        <v>91</v>
      </c>
      <c r="L9" s="38" t="s">
        <v>127</v>
      </c>
      <c r="M9" s="38" t="s">
        <v>127</v>
      </c>
      <c r="N9" s="64"/>
      <c r="O9" s="64"/>
      <c r="P9" s="28"/>
      <c r="Q9" s="28"/>
      <c r="R9" s="28"/>
      <c r="S9" s="28"/>
      <c r="T9" s="28"/>
      <c r="U9" s="28"/>
      <c r="V9" s="28"/>
      <c r="W9" s="28"/>
      <c r="X9" s="28"/>
      <c r="Y9" s="28"/>
      <c r="Z9" s="28"/>
    </row>
    <row r="10">
      <c r="A10" s="50" t="s">
        <v>569</v>
      </c>
      <c r="B10" s="38" t="s">
        <v>30</v>
      </c>
      <c r="C10" s="64" t="s">
        <v>570</v>
      </c>
      <c r="D10" s="52" t="s">
        <v>84</v>
      </c>
      <c r="E10" s="64" t="s">
        <v>521</v>
      </c>
      <c r="F10" s="64" t="s">
        <v>127</v>
      </c>
      <c r="G10" s="64" t="s">
        <v>573</v>
      </c>
      <c r="H10" s="64" t="s">
        <v>97</v>
      </c>
      <c r="I10" s="64" t="s">
        <v>562</v>
      </c>
      <c r="J10" s="64"/>
      <c r="K10" s="38" t="s">
        <v>172</v>
      </c>
      <c r="L10" s="38" t="s">
        <v>127</v>
      </c>
      <c r="M10" s="38" t="s">
        <v>127</v>
      </c>
      <c r="N10" s="64"/>
      <c r="O10" s="64"/>
      <c r="P10" s="28"/>
      <c r="Q10" s="28"/>
      <c r="R10" s="28"/>
      <c r="S10" s="28"/>
      <c r="T10" s="28"/>
      <c r="U10" s="28"/>
      <c r="V10" s="28"/>
      <c r="W10" s="28"/>
      <c r="X10" s="28"/>
      <c r="Y10" s="28"/>
      <c r="Z10" s="28"/>
    </row>
    <row r="11">
      <c r="A11" s="50" t="s">
        <v>574</v>
      </c>
      <c r="B11" s="38" t="s">
        <v>30</v>
      </c>
      <c r="C11" s="64" t="s">
        <v>576</v>
      </c>
      <c r="D11" s="52" t="s">
        <v>84</v>
      </c>
      <c r="E11" s="64" t="s">
        <v>521</v>
      </c>
      <c r="F11" s="64" t="s">
        <v>127</v>
      </c>
      <c r="G11" s="64" t="s">
        <v>577</v>
      </c>
      <c r="H11" s="64" t="s">
        <v>97</v>
      </c>
      <c r="I11" s="64" t="s">
        <v>578</v>
      </c>
      <c r="J11" s="64"/>
      <c r="K11" s="38" t="s">
        <v>172</v>
      </c>
      <c r="L11" s="38" t="s">
        <v>127</v>
      </c>
      <c r="M11" s="38" t="s">
        <v>127</v>
      </c>
      <c r="N11" s="64"/>
      <c r="O11" s="64"/>
      <c r="P11" s="28"/>
      <c r="Q11" s="28"/>
      <c r="R11" s="28"/>
      <c r="S11" s="28"/>
      <c r="T11" s="28"/>
      <c r="U11" s="28"/>
      <c r="V11" s="28"/>
      <c r="W11" s="28"/>
      <c r="X11" s="28"/>
      <c r="Y11" s="28"/>
      <c r="Z11" s="28"/>
    </row>
    <row r="12">
      <c r="A12" s="50" t="s">
        <v>580</v>
      </c>
      <c r="B12" s="38" t="s">
        <v>30</v>
      </c>
      <c r="C12" s="64" t="s">
        <v>581</v>
      </c>
      <c r="D12" s="52" t="s">
        <v>84</v>
      </c>
      <c r="E12" s="64" t="s">
        <v>521</v>
      </c>
      <c r="F12" s="64" t="s">
        <v>127</v>
      </c>
      <c r="G12" s="64" t="s">
        <v>522</v>
      </c>
      <c r="H12" s="64" t="s">
        <v>97</v>
      </c>
      <c r="I12" s="64" t="s">
        <v>582</v>
      </c>
      <c r="J12" s="45" t="s">
        <v>583</v>
      </c>
      <c r="K12" s="38" t="s">
        <v>91</v>
      </c>
      <c r="L12" s="38" t="s">
        <v>127</v>
      </c>
      <c r="M12" s="38" t="s">
        <v>127</v>
      </c>
      <c r="N12" s="64"/>
      <c r="O12" s="64"/>
      <c r="P12" s="28"/>
      <c r="Q12" s="28"/>
      <c r="R12" s="28"/>
      <c r="S12" s="28"/>
      <c r="T12" s="28"/>
      <c r="U12" s="28"/>
      <c r="V12" s="28"/>
      <c r="W12" s="28"/>
      <c r="X12" s="28"/>
      <c r="Y12" s="28"/>
      <c r="Z12" s="28"/>
    </row>
    <row r="13">
      <c r="A13" s="50" t="s">
        <v>585</v>
      </c>
      <c r="B13" s="38" t="s">
        <v>30</v>
      </c>
      <c r="C13" s="64" t="s">
        <v>586</v>
      </c>
      <c r="D13" s="52" t="s">
        <v>84</v>
      </c>
      <c r="E13" s="64" t="s">
        <v>521</v>
      </c>
      <c r="F13" s="64" t="s">
        <v>127</v>
      </c>
      <c r="G13" s="64" t="s">
        <v>522</v>
      </c>
      <c r="H13" s="64" t="s">
        <v>97</v>
      </c>
      <c r="I13" s="64" t="s">
        <v>589</v>
      </c>
      <c r="J13" s="45" t="s">
        <v>144</v>
      </c>
      <c r="K13" s="38" t="s">
        <v>91</v>
      </c>
      <c r="L13" s="38" t="s">
        <v>127</v>
      </c>
      <c r="M13" s="38" t="s">
        <v>127</v>
      </c>
      <c r="N13" s="64"/>
      <c r="O13" s="64"/>
      <c r="P13" s="28"/>
      <c r="Q13" s="28"/>
      <c r="R13" s="28"/>
      <c r="S13" s="28"/>
      <c r="T13" s="28"/>
      <c r="U13" s="28"/>
      <c r="V13" s="28"/>
      <c r="W13" s="28"/>
      <c r="X13" s="28"/>
      <c r="Y13" s="28"/>
      <c r="Z13" s="28"/>
    </row>
    <row r="14">
      <c r="A14" s="50" t="s">
        <v>592</v>
      </c>
      <c r="B14" s="38" t="s">
        <v>30</v>
      </c>
      <c r="C14" s="64" t="s">
        <v>593</v>
      </c>
      <c r="D14" s="52" t="s">
        <v>84</v>
      </c>
      <c r="E14" s="64" t="s">
        <v>521</v>
      </c>
      <c r="F14" s="64" t="s">
        <v>127</v>
      </c>
      <c r="G14" s="64" t="s">
        <v>522</v>
      </c>
      <c r="H14" s="64" t="s">
        <v>97</v>
      </c>
      <c r="I14" s="64" t="s">
        <v>594</v>
      </c>
      <c r="J14" s="45" t="s">
        <v>144</v>
      </c>
      <c r="K14" s="38" t="s">
        <v>91</v>
      </c>
      <c r="L14" s="38" t="s">
        <v>127</v>
      </c>
      <c r="M14" s="38" t="s">
        <v>127</v>
      </c>
      <c r="N14" s="64"/>
      <c r="O14" s="64"/>
      <c r="P14" s="28"/>
      <c r="Q14" s="28"/>
      <c r="R14" s="28"/>
      <c r="S14" s="28"/>
      <c r="T14" s="28"/>
      <c r="U14" s="28"/>
      <c r="V14" s="28"/>
      <c r="W14" s="28"/>
      <c r="X14" s="28"/>
      <c r="Y14" s="28"/>
      <c r="Z14" s="28"/>
    </row>
    <row r="15">
      <c r="A15" s="50" t="s">
        <v>597</v>
      </c>
      <c r="B15" s="38" t="s">
        <v>30</v>
      </c>
      <c r="C15" s="64" t="s">
        <v>598</v>
      </c>
      <c r="D15" s="52" t="s">
        <v>84</v>
      </c>
      <c r="E15" s="64" t="s">
        <v>521</v>
      </c>
      <c r="F15" s="64" t="s">
        <v>127</v>
      </c>
      <c r="G15" s="64" t="s">
        <v>522</v>
      </c>
      <c r="H15" s="64" t="s">
        <v>97</v>
      </c>
      <c r="I15" s="64" t="s">
        <v>599</v>
      </c>
      <c r="J15" s="45" t="s">
        <v>144</v>
      </c>
      <c r="K15" s="38" t="s">
        <v>91</v>
      </c>
      <c r="L15" s="38" t="s">
        <v>127</v>
      </c>
      <c r="M15" s="38" t="s">
        <v>127</v>
      </c>
      <c r="N15" s="64"/>
      <c r="O15" s="64"/>
      <c r="P15" s="28"/>
      <c r="Q15" s="28"/>
      <c r="R15" s="28"/>
      <c r="S15" s="28"/>
      <c r="T15" s="28"/>
      <c r="U15" s="28"/>
      <c r="V15" s="28"/>
      <c r="W15" s="28"/>
      <c r="X15" s="28"/>
      <c r="Y15" s="28"/>
      <c r="Z15" s="28"/>
    </row>
    <row r="16" ht="33.0" customHeight="1">
      <c r="A16" s="49" t="s">
        <v>600</v>
      </c>
      <c r="B16" s="23"/>
      <c r="C16" s="23"/>
      <c r="D16" s="23"/>
      <c r="E16" s="23"/>
      <c r="F16" s="23"/>
      <c r="G16" s="23"/>
      <c r="H16" s="23"/>
      <c r="I16" s="23"/>
      <c r="J16" s="23"/>
      <c r="K16" s="23"/>
      <c r="L16" s="23"/>
      <c r="M16" s="23"/>
      <c r="N16" s="23"/>
      <c r="O16" s="23"/>
      <c r="P16" s="23"/>
      <c r="Q16" s="23"/>
      <c r="R16" s="23"/>
      <c r="S16" s="23"/>
      <c r="T16" s="23"/>
      <c r="U16" s="23"/>
      <c r="V16" s="23"/>
      <c r="W16" s="23"/>
      <c r="X16" s="23"/>
      <c r="Y16" s="23"/>
      <c r="Z16" s="24"/>
    </row>
    <row r="17">
      <c r="A17" s="50" t="s">
        <v>604</v>
      </c>
      <c r="B17" s="38" t="s">
        <v>30</v>
      </c>
      <c r="C17" s="45" t="s">
        <v>607</v>
      </c>
      <c r="D17" s="38" t="s">
        <v>84</v>
      </c>
      <c r="E17" s="66" t="s">
        <v>609</v>
      </c>
      <c r="F17" s="64" t="s">
        <v>610</v>
      </c>
      <c r="G17" s="56" t="s">
        <v>522</v>
      </c>
      <c r="H17" s="64" t="s">
        <v>88</v>
      </c>
      <c r="I17" s="64" t="s">
        <v>612</v>
      </c>
      <c r="J17" s="45" t="s">
        <v>614</v>
      </c>
      <c r="K17" s="38" t="s">
        <v>91</v>
      </c>
      <c r="L17" s="38" t="s">
        <v>127</v>
      </c>
      <c r="M17" s="38" t="s">
        <v>127</v>
      </c>
      <c r="N17" s="64"/>
      <c r="O17" s="64"/>
      <c r="P17" s="28"/>
      <c r="Q17" s="28"/>
      <c r="R17" s="28"/>
      <c r="S17" s="28"/>
      <c r="T17" s="28"/>
      <c r="U17" s="28"/>
      <c r="V17" s="28"/>
      <c r="W17" s="28"/>
      <c r="X17" s="28"/>
      <c r="Y17" s="28"/>
      <c r="Z17" s="28"/>
    </row>
    <row r="18">
      <c r="A18" s="50" t="s">
        <v>618</v>
      </c>
      <c r="B18" s="38" t="s">
        <v>30</v>
      </c>
      <c r="C18" s="45" t="s">
        <v>619</v>
      </c>
      <c r="D18" s="38" t="s">
        <v>84</v>
      </c>
      <c r="E18" s="66" t="s">
        <v>609</v>
      </c>
      <c r="F18" s="64" t="s">
        <v>622</v>
      </c>
      <c r="G18" s="56" t="s">
        <v>522</v>
      </c>
      <c r="H18" s="64" t="s">
        <v>88</v>
      </c>
      <c r="I18" s="64" t="s">
        <v>623</v>
      </c>
      <c r="J18" s="45" t="s">
        <v>144</v>
      </c>
      <c r="K18" s="38" t="s">
        <v>91</v>
      </c>
      <c r="L18" s="38" t="s">
        <v>127</v>
      </c>
      <c r="M18" s="38" t="s">
        <v>127</v>
      </c>
      <c r="N18" s="64"/>
      <c r="O18" s="64"/>
      <c r="P18" s="28"/>
      <c r="Q18" s="28"/>
      <c r="R18" s="28"/>
      <c r="S18" s="28"/>
      <c r="T18" s="28"/>
      <c r="U18" s="28"/>
      <c r="V18" s="28"/>
      <c r="W18" s="28"/>
      <c r="X18" s="28"/>
      <c r="Y18" s="28"/>
      <c r="Z18" s="28"/>
    </row>
    <row r="19">
      <c r="A19" s="50" t="s">
        <v>628</v>
      </c>
      <c r="B19" s="38" t="s">
        <v>30</v>
      </c>
      <c r="C19" s="45" t="s">
        <v>629</v>
      </c>
      <c r="D19" s="38" t="s">
        <v>84</v>
      </c>
      <c r="E19" s="66" t="s">
        <v>609</v>
      </c>
      <c r="F19" s="64" t="s">
        <v>630</v>
      </c>
      <c r="G19" s="56" t="s">
        <v>522</v>
      </c>
      <c r="H19" s="64" t="s">
        <v>88</v>
      </c>
      <c r="I19" s="64" t="s">
        <v>631</v>
      </c>
      <c r="J19" s="45" t="s">
        <v>632</v>
      </c>
      <c r="K19" s="38" t="s">
        <v>91</v>
      </c>
      <c r="L19" s="38" t="s">
        <v>127</v>
      </c>
      <c r="M19" s="38" t="s">
        <v>127</v>
      </c>
      <c r="N19" s="64"/>
      <c r="O19" s="64"/>
      <c r="P19" s="28"/>
      <c r="Q19" s="28"/>
      <c r="R19" s="28"/>
      <c r="S19" s="28"/>
      <c r="T19" s="28"/>
      <c r="U19" s="28"/>
      <c r="V19" s="28"/>
      <c r="W19" s="28"/>
      <c r="X19" s="28"/>
      <c r="Y19" s="28"/>
      <c r="Z19" s="28"/>
    </row>
    <row r="20">
      <c r="A20" s="50" t="s">
        <v>633</v>
      </c>
      <c r="B20" s="38" t="s">
        <v>30</v>
      </c>
      <c r="C20" s="45" t="s">
        <v>634</v>
      </c>
      <c r="D20" s="38" t="s">
        <v>84</v>
      </c>
      <c r="E20" s="66" t="s">
        <v>609</v>
      </c>
      <c r="F20" s="64" t="s">
        <v>635</v>
      </c>
      <c r="G20" s="56" t="s">
        <v>522</v>
      </c>
      <c r="H20" s="64" t="s">
        <v>88</v>
      </c>
      <c r="I20" s="64" t="s">
        <v>578</v>
      </c>
      <c r="J20" s="45" t="s">
        <v>144</v>
      </c>
      <c r="K20" s="38" t="s">
        <v>91</v>
      </c>
      <c r="L20" s="38" t="s">
        <v>127</v>
      </c>
      <c r="M20" s="38" t="s">
        <v>127</v>
      </c>
      <c r="N20" s="64"/>
      <c r="O20" s="64"/>
      <c r="P20" s="28"/>
      <c r="Q20" s="28"/>
      <c r="R20" s="28"/>
      <c r="S20" s="28"/>
      <c r="T20" s="28"/>
      <c r="U20" s="28"/>
      <c r="V20" s="28"/>
      <c r="W20" s="28"/>
      <c r="X20" s="28"/>
      <c r="Y20" s="28"/>
      <c r="Z20" s="28"/>
    </row>
    <row r="21">
      <c r="A21" s="50" t="s">
        <v>637</v>
      </c>
      <c r="B21" s="38" t="s">
        <v>30</v>
      </c>
      <c r="C21" s="45" t="s">
        <v>639</v>
      </c>
      <c r="D21" s="38" t="s">
        <v>84</v>
      </c>
      <c r="E21" s="66" t="s">
        <v>609</v>
      </c>
      <c r="F21" s="64" t="s">
        <v>641</v>
      </c>
      <c r="G21" s="56" t="s">
        <v>522</v>
      </c>
      <c r="H21" s="64" t="s">
        <v>88</v>
      </c>
      <c r="I21" s="64" t="s">
        <v>642</v>
      </c>
      <c r="J21" s="45" t="s">
        <v>644</v>
      </c>
      <c r="K21" s="38" t="s">
        <v>91</v>
      </c>
      <c r="L21" s="38" t="s">
        <v>127</v>
      </c>
      <c r="M21" s="38" t="s">
        <v>127</v>
      </c>
      <c r="N21" s="64"/>
      <c r="O21" s="64"/>
      <c r="P21" s="28"/>
      <c r="Q21" s="28"/>
      <c r="R21" s="28"/>
      <c r="S21" s="28"/>
      <c r="T21" s="28"/>
      <c r="U21" s="28"/>
      <c r="V21" s="28"/>
      <c r="W21" s="28"/>
      <c r="X21" s="28"/>
      <c r="Y21" s="28"/>
      <c r="Z21" s="28"/>
    </row>
    <row r="22">
      <c r="A22" s="50" t="s">
        <v>648</v>
      </c>
      <c r="B22" s="38" t="s">
        <v>30</v>
      </c>
      <c r="C22" s="45" t="s">
        <v>649</v>
      </c>
      <c r="D22" s="38" t="s">
        <v>84</v>
      </c>
      <c r="E22" s="66" t="s">
        <v>609</v>
      </c>
      <c r="F22" s="64" t="s">
        <v>610</v>
      </c>
      <c r="G22" s="56" t="s">
        <v>456</v>
      </c>
      <c r="H22" s="64" t="s">
        <v>88</v>
      </c>
      <c r="I22" s="64" t="s">
        <v>556</v>
      </c>
      <c r="J22" s="45" t="s">
        <v>560</v>
      </c>
      <c r="K22" s="38" t="s">
        <v>91</v>
      </c>
      <c r="L22" s="38" t="s">
        <v>127</v>
      </c>
      <c r="M22" s="38" t="s">
        <v>127</v>
      </c>
      <c r="N22" s="64"/>
      <c r="O22" s="64"/>
      <c r="P22" s="28"/>
      <c r="Q22" s="28"/>
      <c r="R22" s="28"/>
      <c r="S22" s="28"/>
      <c r="T22" s="28"/>
      <c r="U22" s="28"/>
      <c r="V22" s="28"/>
      <c r="W22" s="28"/>
      <c r="X22" s="28"/>
      <c r="Y22" s="28"/>
      <c r="Z22" s="28"/>
    </row>
    <row r="23">
      <c r="A23" s="50" t="s">
        <v>650</v>
      </c>
      <c r="B23" s="38" t="s">
        <v>30</v>
      </c>
      <c r="C23" s="45" t="s">
        <v>651</v>
      </c>
      <c r="D23" s="38" t="s">
        <v>84</v>
      </c>
      <c r="E23" s="66" t="s">
        <v>609</v>
      </c>
      <c r="F23" s="64" t="s">
        <v>610</v>
      </c>
      <c r="G23" s="56" t="s">
        <v>242</v>
      </c>
      <c r="H23" s="64" t="s">
        <v>88</v>
      </c>
      <c r="I23" s="64" t="s">
        <v>556</v>
      </c>
      <c r="J23" s="45" t="s">
        <v>144</v>
      </c>
      <c r="K23" s="38" t="s">
        <v>91</v>
      </c>
      <c r="L23" s="38" t="s">
        <v>127</v>
      </c>
      <c r="M23" s="38" t="s">
        <v>127</v>
      </c>
      <c r="N23" s="64"/>
      <c r="O23" s="64"/>
      <c r="P23" s="28"/>
      <c r="Q23" s="28"/>
      <c r="R23" s="28"/>
      <c r="S23" s="28"/>
      <c r="T23" s="28"/>
      <c r="U23" s="28"/>
      <c r="V23" s="28"/>
      <c r="W23" s="28"/>
      <c r="X23" s="28"/>
      <c r="Y23" s="28"/>
      <c r="Z23" s="28"/>
    </row>
    <row r="24">
      <c r="A24" s="50" t="s">
        <v>652</v>
      </c>
      <c r="B24" s="38" t="s">
        <v>30</v>
      </c>
      <c r="C24" s="45" t="s">
        <v>653</v>
      </c>
      <c r="D24" s="38" t="s">
        <v>84</v>
      </c>
      <c r="E24" s="66" t="s">
        <v>609</v>
      </c>
      <c r="F24" s="64" t="s">
        <v>610</v>
      </c>
      <c r="G24" s="56" t="s">
        <v>503</v>
      </c>
      <c r="H24" s="64" t="s">
        <v>88</v>
      </c>
      <c r="I24" s="64" t="s">
        <v>562</v>
      </c>
      <c r="J24" s="64"/>
      <c r="K24" s="38" t="s">
        <v>172</v>
      </c>
      <c r="L24" s="38" t="s">
        <v>127</v>
      </c>
      <c r="M24" s="38" t="s">
        <v>127</v>
      </c>
      <c r="N24" s="64"/>
      <c r="O24" s="64"/>
      <c r="P24" s="28"/>
      <c r="Q24" s="28"/>
      <c r="R24" s="28"/>
      <c r="S24" s="28"/>
      <c r="T24" s="28"/>
      <c r="U24" s="28"/>
      <c r="V24" s="28"/>
      <c r="W24" s="28"/>
      <c r="X24" s="28"/>
      <c r="Y24" s="28"/>
      <c r="Z24" s="28"/>
    </row>
    <row r="25">
      <c r="A25" s="50" t="s">
        <v>654</v>
      </c>
      <c r="B25" s="38" t="s">
        <v>30</v>
      </c>
      <c r="C25" s="45" t="s">
        <v>655</v>
      </c>
      <c r="D25" s="38" t="s">
        <v>84</v>
      </c>
      <c r="E25" s="66" t="s">
        <v>609</v>
      </c>
      <c r="F25" s="64" t="s">
        <v>656</v>
      </c>
      <c r="G25" s="56" t="s">
        <v>522</v>
      </c>
      <c r="H25" s="64" t="s">
        <v>88</v>
      </c>
      <c r="I25" s="45" t="s">
        <v>657</v>
      </c>
      <c r="J25" s="45" t="s">
        <v>658</v>
      </c>
      <c r="K25" s="38" t="s">
        <v>91</v>
      </c>
      <c r="L25" s="38" t="s">
        <v>127</v>
      </c>
      <c r="M25" s="38" t="s">
        <v>127</v>
      </c>
      <c r="N25" s="64"/>
      <c r="O25" s="64"/>
      <c r="P25" s="28"/>
      <c r="Q25" s="28"/>
      <c r="R25" s="28"/>
      <c r="S25" s="28"/>
      <c r="T25" s="28"/>
      <c r="U25" s="28"/>
      <c r="V25" s="28"/>
      <c r="W25" s="28"/>
      <c r="X25" s="28"/>
      <c r="Y25" s="28"/>
      <c r="Z25" s="28"/>
    </row>
    <row r="26">
      <c r="A26" s="50" t="s">
        <v>659</v>
      </c>
      <c r="B26" s="38" t="s">
        <v>30</v>
      </c>
      <c r="C26" s="45" t="s">
        <v>660</v>
      </c>
      <c r="D26" s="38" t="s">
        <v>84</v>
      </c>
      <c r="E26" s="66" t="s">
        <v>609</v>
      </c>
      <c r="F26" s="64" t="s">
        <v>661</v>
      </c>
      <c r="G26" s="56" t="s">
        <v>522</v>
      </c>
      <c r="H26" s="64" t="s">
        <v>88</v>
      </c>
      <c r="I26" s="64" t="s">
        <v>662</v>
      </c>
      <c r="J26" s="64"/>
      <c r="K26" s="38" t="s">
        <v>172</v>
      </c>
      <c r="L26" s="38" t="s">
        <v>127</v>
      </c>
      <c r="M26" s="38" t="s">
        <v>127</v>
      </c>
      <c r="N26" s="64"/>
      <c r="O26" s="64"/>
      <c r="P26" s="28"/>
      <c r="Q26" s="28"/>
      <c r="R26" s="28"/>
      <c r="S26" s="28"/>
      <c r="T26" s="28"/>
      <c r="U26" s="28"/>
      <c r="V26" s="28"/>
      <c r="W26" s="28"/>
      <c r="X26" s="28"/>
      <c r="Y26" s="28"/>
      <c r="Z26" s="28"/>
    </row>
    <row r="27">
      <c r="A27" s="50" t="s">
        <v>663</v>
      </c>
      <c r="B27" s="38" t="s">
        <v>30</v>
      </c>
      <c r="C27" s="45" t="s">
        <v>664</v>
      </c>
      <c r="D27" s="38" t="s">
        <v>84</v>
      </c>
      <c r="E27" s="66" t="s">
        <v>609</v>
      </c>
      <c r="F27" s="64" t="s">
        <v>665</v>
      </c>
      <c r="G27" s="56" t="s">
        <v>522</v>
      </c>
      <c r="H27" s="64" t="s">
        <v>88</v>
      </c>
      <c r="I27" s="64" t="s">
        <v>662</v>
      </c>
      <c r="J27" s="64"/>
      <c r="K27" s="38" t="s">
        <v>172</v>
      </c>
      <c r="L27" s="38" t="s">
        <v>127</v>
      </c>
      <c r="M27" s="38" t="s">
        <v>127</v>
      </c>
      <c r="N27" s="64"/>
      <c r="O27" s="64"/>
      <c r="P27" s="28"/>
      <c r="Q27" s="28"/>
      <c r="R27" s="28"/>
      <c r="S27" s="28"/>
      <c r="T27" s="28"/>
      <c r="U27" s="28"/>
      <c r="V27" s="28"/>
      <c r="W27" s="28"/>
      <c r="X27" s="28"/>
      <c r="Y27" s="28"/>
      <c r="Z27" s="28"/>
    </row>
    <row r="28">
      <c r="A28" s="50" t="s">
        <v>667</v>
      </c>
      <c r="B28" s="38" t="s">
        <v>30</v>
      </c>
      <c r="C28" s="45" t="s">
        <v>669</v>
      </c>
      <c r="D28" s="38" t="s">
        <v>84</v>
      </c>
      <c r="E28" s="66" t="s">
        <v>609</v>
      </c>
      <c r="F28" s="64" t="s">
        <v>671</v>
      </c>
      <c r="G28" s="56" t="s">
        <v>522</v>
      </c>
      <c r="H28" s="64" t="s">
        <v>88</v>
      </c>
      <c r="I28" s="64" t="s">
        <v>672</v>
      </c>
      <c r="J28" s="45" t="s">
        <v>673</v>
      </c>
      <c r="K28" s="38" t="s">
        <v>91</v>
      </c>
      <c r="L28" s="38" t="s">
        <v>127</v>
      </c>
      <c r="M28" s="38" t="s">
        <v>127</v>
      </c>
      <c r="N28" s="64"/>
      <c r="O28" s="64"/>
      <c r="P28" s="28"/>
      <c r="Q28" s="28"/>
      <c r="R28" s="28"/>
      <c r="S28" s="28"/>
      <c r="T28" s="28"/>
      <c r="U28" s="28"/>
      <c r="V28" s="28"/>
      <c r="W28" s="28"/>
      <c r="X28" s="28"/>
      <c r="Y28" s="28"/>
      <c r="Z28" s="28"/>
    </row>
    <row r="29">
      <c r="A29" s="50" t="s">
        <v>674</v>
      </c>
      <c r="B29" s="38" t="s">
        <v>30</v>
      </c>
      <c r="C29" s="45" t="s">
        <v>675</v>
      </c>
      <c r="D29" s="38" t="s">
        <v>84</v>
      </c>
      <c r="E29" s="66" t="s">
        <v>609</v>
      </c>
      <c r="F29" s="64" t="s">
        <v>676</v>
      </c>
      <c r="G29" s="56" t="s">
        <v>522</v>
      </c>
      <c r="H29" s="64" t="s">
        <v>88</v>
      </c>
      <c r="I29" s="64" t="s">
        <v>662</v>
      </c>
      <c r="J29" s="64"/>
      <c r="K29" s="38" t="s">
        <v>172</v>
      </c>
      <c r="L29" s="38" t="s">
        <v>127</v>
      </c>
      <c r="M29" s="38" t="s">
        <v>127</v>
      </c>
      <c r="N29" s="64"/>
      <c r="O29" s="64"/>
      <c r="P29" s="28"/>
      <c r="Q29" s="28"/>
      <c r="R29" s="28"/>
      <c r="S29" s="28"/>
      <c r="T29" s="28"/>
      <c r="U29" s="28"/>
      <c r="V29" s="28"/>
      <c r="W29" s="28"/>
      <c r="X29" s="28"/>
      <c r="Y29" s="28"/>
      <c r="Z29" s="28"/>
    </row>
    <row r="30">
      <c r="A30" s="50" t="s">
        <v>679</v>
      </c>
      <c r="B30" s="38" t="s">
        <v>30</v>
      </c>
      <c r="C30" s="45" t="s">
        <v>680</v>
      </c>
      <c r="D30" s="38" t="s">
        <v>84</v>
      </c>
      <c r="E30" s="66" t="s">
        <v>609</v>
      </c>
      <c r="F30" s="64" t="s">
        <v>610</v>
      </c>
      <c r="G30" s="56" t="s">
        <v>522</v>
      </c>
      <c r="H30" s="64" t="s">
        <v>88</v>
      </c>
      <c r="I30" s="64" t="s">
        <v>681</v>
      </c>
      <c r="J30" s="45" t="s">
        <v>144</v>
      </c>
      <c r="K30" s="38" t="s">
        <v>91</v>
      </c>
      <c r="L30" s="38" t="s">
        <v>127</v>
      </c>
      <c r="M30" s="38" t="s">
        <v>127</v>
      </c>
      <c r="N30" s="64"/>
      <c r="O30" s="64"/>
      <c r="P30" s="28"/>
      <c r="Q30" s="28"/>
      <c r="R30" s="28"/>
      <c r="S30" s="28"/>
      <c r="T30" s="28"/>
      <c r="U30" s="28"/>
      <c r="V30" s="28"/>
      <c r="W30" s="28"/>
      <c r="X30" s="28"/>
      <c r="Y30" s="28"/>
      <c r="Z30" s="28"/>
    </row>
    <row r="31">
      <c r="A31" s="50" t="s">
        <v>684</v>
      </c>
      <c r="B31" s="38" t="s">
        <v>30</v>
      </c>
      <c r="C31" s="45" t="s">
        <v>686</v>
      </c>
      <c r="D31" s="38" t="s">
        <v>84</v>
      </c>
      <c r="E31" s="66" t="s">
        <v>609</v>
      </c>
      <c r="F31" s="64" t="s">
        <v>610</v>
      </c>
      <c r="G31" s="56" t="s">
        <v>522</v>
      </c>
      <c r="H31" s="64" t="s">
        <v>88</v>
      </c>
      <c r="I31" s="64" t="s">
        <v>568</v>
      </c>
      <c r="J31" s="45" t="s">
        <v>144</v>
      </c>
      <c r="K31" s="38" t="s">
        <v>91</v>
      </c>
      <c r="L31" s="38" t="s">
        <v>127</v>
      </c>
      <c r="M31" s="38" t="s">
        <v>127</v>
      </c>
      <c r="N31" s="64"/>
      <c r="O31" s="64"/>
      <c r="P31" s="28"/>
      <c r="Q31" s="28"/>
      <c r="R31" s="28"/>
      <c r="S31" s="28"/>
      <c r="T31" s="28"/>
      <c r="U31" s="28"/>
      <c r="V31" s="28"/>
      <c r="W31" s="28"/>
      <c r="X31" s="28"/>
      <c r="Y31" s="28"/>
      <c r="Z31" s="28"/>
    </row>
    <row r="32" ht="31.5" customHeight="1">
      <c r="A32" s="49" t="s">
        <v>689</v>
      </c>
      <c r="B32" s="23"/>
      <c r="C32" s="23"/>
      <c r="D32" s="23"/>
      <c r="E32" s="23"/>
      <c r="F32" s="23"/>
      <c r="G32" s="23"/>
      <c r="H32" s="23"/>
      <c r="I32" s="23"/>
      <c r="J32" s="23"/>
      <c r="K32" s="23"/>
      <c r="L32" s="23"/>
      <c r="M32" s="23"/>
      <c r="N32" s="23"/>
      <c r="O32" s="23"/>
      <c r="P32" s="23"/>
      <c r="Q32" s="23"/>
      <c r="R32" s="23"/>
      <c r="S32" s="23"/>
      <c r="T32" s="23"/>
      <c r="U32" s="23"/>
      <c r="V32" s="23"/>
      <c r="W32" s="23"/>
      <c r="X32" s="23"/>
      <c r="Y32" s="23"/>
      <c r="Z32" s="24"/>
    </row>
    <row r="33">
      <c r="A33" s="50" t="s">
        <v>691</v>
      </c>
      <c r="B33" s="38" t="s">
        <v>30</v>
      </c>
      <c r="C33" s="67" t="s">
        <v>693</v>
      </c>
      <c r="D33" s="38" t="s">
        <v>84</v>
      </c>
      <c r="E33" s="45" t="s">
        <v>694</v>
      </c>
      <c r="F33" s="64" t="s">
        <v>696</v>
      </c>
      <c r="G33" s="64" t="s">
        <v>697</v>
      </c>
      <c r="H33" s="64" t="s">
        <v>88</v>
      </c>
      <c r="I33" s="64" t="s">
        <v>700</v>
      </c>
      <c r="J33" s="45" t="s">
        <v>701</v>
      </c>
      <c r="K33" s="38" t="s">
        <v>91</v>
      </c>
      <c r="L33" s="38" t="s">
        <v>127</v>
      </c>
      <c r="M33" s="38" t="s">
        <v>127</v>
      </c>
      <c r="N33" s="64"/>
      <c r="O33" s="64"/>
      <c r="P33" s="28"/>
      <c r="Q33" s="28"/>
      <c r="R33" s="28"/>
      <c r="S33" s="28"/>
      <c r="T33" s="28"/>
      <c r="U33" s="28"/>
      <c r="V33" s="28"/>
      <c r="W33" s="28"/>
      <c r="X33" s="28"/>
      <c r="Y33" s="28"/>
      <c r="Z33" s="28"/>
    </row>
    <row r="34">
      <c r="A34" s="50" t="s">
        <v>704</v>
      </c>
      <c r="B34" s="38" t="s">
        <v>30</v>
      </c>
      <c r="C34" s="67" t="s">
        <v>705</v>
      </c>
      <c r="D34" s="38" t="s">
        <v>84</v>
      </c>
      <c r="E34" s="45" t="s">
        <v>694</v>
      </c>
      <c r="F34" s="64" t="s">
        <v>706</v>
      </c>
      <c r="G34" s="64" t="s">
        <v>522</v>
      </c>
      <c r="H34" s="64" t="s">
        <v>88</v>
      </c>
      <c r="I34" s="64" t="s">
        <v>578</v>
      </c>
      <c r="J34" s="45" t="s">
        <v>144</v>
      </c>
      <c r="K34" s="38" t="s">
        <v>91</v>
      </c>
      <c r="L34" s="38" t="s">
        <v>127</v>
      </c>
      <c r="M34" s="38" t="s">
        <v>127</v>
      </c>
      <c r="N34" s="64"/>
      <c r="O34" s="64"/>
      <c r="P34" s="28"/>
      <c r="Q34" s="28"/>
      <c r="R34" s="28"/>
      <c r="S34" s="28"/>
      <c r="T34" s="28"/>
      <c r="U34" s="28"/>
      <c r="V34" s="28"/>
      <c r="W34" s="28"/>
      <c r="X34" s="28"/>
      <c r="Y34" s="28"/>
      <c r="Z34" s="28"/>
    </row>
    <row r="35">
      <c r="A35" s="50" t="s">
        <v>708</v>
      </c>
      <c r="B35" s="38" t="s">
        <v>30</v>
      </c>
      <c r="C35" s="67" t="s">
        <v>709</v>
      </c>
      <c r="D35" s="38" t="s">
        <v>84</v>
      </c>
      <c r="E35" s="45" t="s">
        <v>694</v>
      </c>
      <c r="F35" s="64" t="s">
        <v>696</v>
      </c>
      <c r="G35" s="64" t="s">
        <v>456</v>
      </c>
      <c r="H35" s="64" t="s">
        <v>88</v>
      </c>
      <c r="I35" s="64" t="s">
        <v>556</v>
      </c>
      <c r="J35" s="45" t="s">
        <v>144</v>
      </c>
      <c r="K35" s="38" t="s">
        <v>91</v>
      </c>
      <c r="L35" s="38" t="s">
        <v>127</v>
      </c>
      <c r="M35" s="38" t="s">
        <v>127</v>
      </c>
      <c r="N35" s="64"/>
      <c r="O35" s="64"/>
      <c r="P35" s="28"/>
      <c r="Q35" s="28"/>
      <c r="R35" s="28"/>
      <c r="S35" s="28"/>
      <c r="T35" s="28"/>
      <c r="U35" s="28"/>
      <c r="V35" s="28"/>
      <c r="W35" s="28"/>
      <c r="X35" s="28"/>
      <c r="Y35" s="28"/>
      <c r="Z35" s="28"/>
    </row>
    <row r="36">
      <c r="A36" s="50" t="s">
        <v>710</v>
      </c>
      <c r="B36" s="38" t="s">
        <v>30</v>
      </c>
      <c r="C36" s="67" t="s">
        <v>651</v>
      </c>
      <c r="D36" s="38" t="s">
        <v>84</v>
      </c>
      <c r="E36" s="45" t="s">
        <v>694</v>
      </c>
      <c r="F36" s="64" t="s">
        <v>696</v>
      </c>
      <c r="G36" s="64" t="s">
        <v>242</v>
      </c>
      <c r="H36" s="64" t="s">
        <v>88</v>
      </c>
      <c r="I36" s="64" t="s">
        <v>556</v>
      </c>
      <c r="J36" s="45" t="s">
        <v>144</v>
      </c>
      <c r="K36" s="38" t="s">
        <v>91</v>
      </c>
      <c r="L36" s="38" t="s">
        <v>127</v>
      </c>
      <c r="M36" s="38" t="s">
        <v>127</v>
      </c>
      <c r="N36" s="64"/>
      <c r="O36" s="64"/>
      <c r="P36" s="28"/>
      <c r="Q36" s="28"/>
      <c r="R36" s="28"/>
      <c r="S36" s="28"/>
      <c r="T36" s="28"/>
      <c r="U36" s="28"/>
      <c r="V36" s="28"/>
      <c r="W36" s="28"/>
      <c r="X36" s="28"/>
      <c r="Y36" s="28"/>
      <c r="Z36" s="28"/>
    </row>
    <row r="37">
      <c r="A37" s="50" t="s">
        <v>711</v>
      </c>
      <c r="B37" s="38" t="s">
        <v>30</v>
      </c>
      <c r="C37" s="67" t="s">
        <v>653</v>
      </c>
      <c r="D37" s="38" t="s">
        <v>84</v>
      </c>
      <c r="E37" s="45" t="s">
        <v>694</v>
      </c>
      <c r="F37" s="64" t="s">
        <v>696</v>
      </c>
      <c r="G37" s="64" t="s">
        <v>712</v>
      </c>
      <c r="H37" s="64" t="s">
        <v>88</v>
      </c>
      <c r="I37" s="64" t="s">
        <v>562</v>
      </c>
      <c r="J37" s="64"/>
      <c r="K37" s="38" t="s">
        <v>172</v>
      </c>
      <c r="L37" s="38" t="s">
        <v>127</v>
      </c>
      <c r="M37" s="38" t="s">
        <v>127</v>
      </c>
      <c r="N37" s="64"/>
      <c r="O37" s="64"/>
      <c r="P37" s="28"/>
      <c r="Q37" s="28"/>
      <c r="R37" s="28"/>
      <c r="S37" s="28"/>
      <c r="T37" s="28"/>
      <c r="U37" s="28"/>
      <c r="V37" s="28"/>
      <c r="W37" s="28"/>
      <c r="X37" s="28"/>
      <c r="Y37" s="28"/>
      <c r="Z37" s="28"/>
    </row>
    <row r="38">
      <c r="A38" s="50" t="s">
        <v>713</v>
      </c>
      <c r="B38" s="38" t="s">
        <v>30</v>
      </c>
      <c r="C38" s="67" t="s">
        <v>714</v>
      </c>
      <c r="D38" s="38" t="s">
        <v>84</v>
      </c>
      <c r="E38" s="45" t="s">
        <v>694</v>
      </c>
      <c r="F38" s="64" t="s">
        <v>715</v>
      </c>
      <c r="G38" s="64" t="s">
        <v>300</v>
      </c>
      <c r="H38" s="64" t="s">
        <v>88</v>
      </c>
      <c r="I38" s="64" t="s">
        <v>716</v>
      </c>
      <c r="J38" s="45" t="s">
        <v>144</v>
      </c>
      <c r="K38" s="38" t="s">
        <v>91</v>
      </c>
      <c r="L38" s="38" t="s">
        <v>127</v>
      </c>
      <c r="M38" s="38" t="s">
        <v>127</v>
      </c>
      <c r="N38" s="64"/>
      <c r="O38" s="64"/>
      <c r="P38" s="28"/>
      <c r="Q38" s="28"/>
      <c r="R38" s="28"/>
      <c r="S38" s="28"/>
      <c r="T38" s="28"/>
      <c r="U38" s="28"/>
      <c r="V38" s="28"/>
      <c r="W38" s="28"/>
      <c r="X38" s="28"/>
      <c r="Y38" s="28"/>
      <c r="Z38" s="28"/>
    </row>
    <row r="39">
      <c r="A39" s="50" t="s">
        <v>717</v>
      </c>
      <c r="B39" s="38" t="s">
        <v>30</v>
      </c>
      <c r="C39" s="67" t="s">
        <v>506</v>
      </c>
      <c r="D39" s="38" t="s">
        <v>84</v>
      </c>
      <c r="E39" s="45" t="s">
        <v>694</v>
      </c>
      <c r="F39" s="64" t="s">
        <v>696</v>
      </c>
      <c r="G39" s="64" t="s">
        <v>718</v>
      </c>
      <c r="H39" s="64" t="s">
        <v>88</v>
      </c>
      <c r="I39" s="64" t="s">
        <v>719</v>
      </c>
      <c r="J39" s="45" t="s">
        <v>144</v>
      </c>
      <c r="K39" s="38" t="s">
        <v>91</v>
      </c>
      <c r="L39" s="38" t="s">
        <v>127</v>
      </c>
      <c r="M39" s="38" t="s">
        <v>127</v>
      </c>
      <c r="N39" s="64"/>
      <c r="O39" s="64"/>
      <c r="P39" s="28"/>
      <c r="Q39" s="28"/>
      <c r="R39" s="28"/>
      <c r="S39" s="28"/>
      <c r="T39" s="28"/>
      <c r="U39" s="28"/>
      <c r="V39" s="28"/>
      <c r="W39" s="28"/>
      <c r="X39" s="28"/>
      <c r="Y39" s="28"/>
      <c r="Z39" s="28"/>
    </row>
    <row r="40">
      <c r="A40" s="50" t="s">
        <v>720</v>
      </c>
      <c r="B40" s="38" t="s">
        <v>30</v>
      </c>
      <c r="C40" s="67" t="s">
        <v>680</v>
      </c>
      <c r="D40" s="38" t="s">
        <v>84</v>
      </c>
      <c r="E40" s="45" t="s">
        <v>694</v>
      </c>
      <c r="F40" s="64" t="s">
        <v>696</v>
      </c>
      <c r="G40" s="64" t="s">
        <v>718</v>
      </c>
      <c r="H40" s="64" t="s">
        <v>88</v>
      </c>
      <c r="I40" s="64" t="s">
        <v>681</v>
      </c>
      <c r="J40" s="45" t="s">
        <v>144</v>
      </c>
      <c r="K40" s="38" t="s">
        <v>91</v>
      </c>
      <c r="L40" s="38" t="s">
        <v>127</v>
      </c>
      <c r="M40" s="38" t="s">
        <v>127</v>
      </c>
      <c r="N40" s="64"/>
      <c r="O40" s="64"/>
      <c r="P40" s="28"/>
      <c r="Q40" s="28"/>
      <c r="R40" s="28"/>
      <c r="S40" s="28"/>
      <c r="T40" s="28"/>
      <c r="U40" s="28"/>
      <c r="V40" s="28"/>
      <c r="W40" s="28"/>
      <c r="X40" s="28"/>
      <c r="Y40" s="28"/>
      <c r="Z40" s="28"/>
    </row>
    <row r="41">
      <c r="A41" s="50" t="s">
        <v>721</v>
      </c>
      <c r="B41" s="38" t="s">
        <v>30</v>
      </c>
      <c r="C41" s="67" t="s">
        <v>722</v>
      </c>
      <c r="D41" s="38" t="s">
        <v>84</v>
      </c>
      <c r="E41" s="45" t="s">
        <v>694</v>
      </c>
      <c r="F41" s="64" t="s">
        <v>696</v>
      </c>
      <c r="G41" s="64" t="s">
        <v>718</v>
      </c>
      <c r="H41" s="64" t="s">
        <v>88</v>
      </c>
      <c r="I41" s="64" t="s">
        <v>723</v>
      </c>
      <c r="J41" s="45" t="s">
        <v>144</v>
      </c>
      <c r="K41" s="38" t="s">
        <v>91</v>
      </c>
      <c r="L41" s="38" t="s">
        <v>127</v>
      </c>
      <c r="M41" s="38" t="s">
        <v>127</v>
      </c>
      <c r="N41" s="64"/>
      <c r="O41" s="64"/>
      <c r="P41" s="28"/>
      <c r="Q41" s="28"/>
      <c r="R41" s="28"/>
      <c r="S41" s="28"/>
      <c r="T41" s="28"/>
      <c r="U41" s="28"/>
      <c r="V41" s="28"/>
      <c r="W41" s="28"/>
      <c r="X41" s="28"/>
      <c r="Y41" s="28"/>
      <c r="Z41" s="28"/>
    </row>
    <row r="42" ht="30.0" customHeight="1">
      <c r="A42" s="49" t="s">
        <v>725</v>
      </c>
      <c r="B42" s="23"/>
      <c r="C42" s="23"/>
      <c r="D42" s="23"/>
      <c r="E42" s="23"/>
      <c r="F42" s="23"/>
      <c r="G42" s="23"/>
      <c r="H42" s="23"/>
      <c r="I42" s="23"/>
      <c r="J42" s="23"/>
      <c r="K42" s="23"/>
      <c r="L42" s="23"/>
      <c r="M42" s="23"/>
      <c r="N42" s="23"/>
      <c r="O42" s="23"/>
      <c r="P42" s="23"/>
      <c r="Q42" s="23"/>
      <c r="R42" s="23"/>
      <c r="S42" s="23"/>
      <c r="T42" s="23"/>
      <c r="U42" s="23"/>
      <c r="V42" s="23"/>
      <c r="W42" s="23"/>
      <c r="X42" s="23"/>
      <c r="Y42" s="23"/>
      <c r="Z42" s="24"/>
    </row>
    <row r="43">
      <c r="A43" s="38" t="s">
        <v>732</v>
      </c>
      <c r="B43" s="38" t="s">
        <v>30</v>
      </c>
      <c r="C43" s="45" t="s">
        <v>733</v>
      </c>
      <c r="D43" s="38" t="s">
        <v>734</v>
      </c>
      <c r="E43" s="38" t="s">
        <v>735</v>
      </c>
      <c r="F43" s="45" t="s">
        <v>736</v>
      </c>
      <c r="G43" s="45" t="s">
        <v>718</v>
      </c>
      <c r="H43" s="45" t="s">
        <v>737</v>
      </c>
      <c r="I43" s="45" t="s">
        <v>738</v>
      </c>
      <c r="J43" s="45" t="s">
        <v>739</v>
      </c>
      <c r="K43" s="38" t="s">
        <v>91</v>
      </c>
      <c r="L43" s="38" t="s">
        <v>92</v>
      </c>
      <c r="M43" s="38" t="s">
        <v>92</v>
      </c>
      <c r="N43" s="45"/>
      <c r="O43" s="45" t="s">
        <v>93</v>
      </c>
      <c r="P43" s="28"/>
      <c r="Q43" s="28"/>
      <c r="R43" s="28"/>
      <c r="S43" s="28"/>
      <c r="T43" s="28"/>
      <c r="U43" s="28"/>
      <c r="V43" s="28"/>
      <c r="W43" s="28"/>
      <c r="X43" s="28"/>
      <c r="Y43" s="28"/>
      <c r="Z43" s="28"/>
    </row>
    <row r="44">
      <c r="A44" s="38" t="s">
        <v>740</v>
      </c>
      <c r="B44" s="38" t="s">
        <v>30</v>
      </c>
      <c r="C44" s="45" t="s">
        <v>741</v>
      </c>
      <c r="D44" s="38" t="s">
        <v>734</v>
      </c>
      <c r="E44" s="38" t="s">
        <v>735</v>
      </c>
      <c r="F44" s="45" t="s">
        <v>736</v>
      </c>
      <c r="G44" s="45" t="s">
        <v>718</v>
      </c>
      <c r="H44" s="45" t="s">
        <v>742</v>
      </c>
      <c r="I44" s="45" t="s">
        <v>743</v>
      </c>
      <c r="J44" s="45" t="s">
        <v>744</v>
      </c>
      <c r="K44" s="38" t="s">
        <v>91</v>
      </c>
      <c r="L44" s="38" t="s">
        <v>92</v>
      </c>
      <c r="M44" s="38" t="s">
        <v>92</v>
      </c>
      <c r="N44" s="45"/>
      <c r="O44" s="45" t="s">
        <v>337</v>
      </c>
      <c r="P44" s="28"/>
      <c r="Q44" s="28"/>
      <c r="R44" s="28"/>
      <c r="S44" s="28"/>
      <c r="T44" s="28"/>
      <c r="U44" s="28"/>
      <c r="V44" s="28"/>
      <c r="W44" s="28"/>
      <c r="X44" s="28"/>
      <c r="Y44" s="28"/>
      <c r="Z44" s="28"/>
    </row>
    <row r="45">
      <c r="A45" s="38" t="s">
        <v>745</v>
      </c>
      <c r="B45" s="38" t="s">
        <v>30</v>
      </c>
      <c r="C45" s="45" t="s">
        <v>747</v>
      </c>
      <c r="D45" s="38" t="s">
        <v>734</v>
      </c>
      <c r="E45" s="38" t="s">
        <v>735</v>
      </c>
      <c r="F45" s="45" t="s">
        <v>749</v>
      </c>
      <c r="G45" s="45"/>
      <c r="H45" s="45" t="s">
        <v>750</v>
      </c>
      <c r="I45" s="45" t="s">
        <v>578</v>
      </c>
      <c r="J45" s="45" t="s">
        <v>752</v>
      </c>
      <c r="K45" s="38" t="s">
        <v>91</v>
      </c>
      <c r="L45" s="38" t="s">
        <v>92</v>
      </c>
      <c r="M45" s="38" t="s">
        <v>92</v>
      </c>
      <c r="N45" s="45"/>
      <c r="O45" s="45" t="s">
        <v>755</v>
      </c>
      <c r="P45" s="28"/>
      <c r="Q45" s="28"/>
      <c r="R45" s="28"/>
      <c r="S45" s="28"/>
      <c r="T45" s="28"/>
      <c r="U45" s="28"/>
      <c r="V45" s="28"/>
      <c r="W45" s="28"/>
      <c r="X45" s="28"/>
      <c r="Y45" s="28"/>
      <c r="Z45" s="28"/>
    </row>
    <row r="46">
      <c r="A46" s="38" t="s">
        <v>757</v>
      </c>
      <c r="B46" s="38" t="s">
        <v>30</v>
      </c>
      <c r="C46" s="45" t="s">
        <v>759</v>
      </c>
      <c r="D46" s="38" t="s">
        <v>734</v>
      </c>
      <c r="E46" s="38" t="s">
        <v>735</v>
      </c>
      <c r="F46" s="45" t="s">
        <v>761</v>
      </c>
      <c r="G46" s="45"/>
      <c r="H46" s="45" t="s">
        <v>750</v>
      </c>
      <c r="I46" s="45" t="s">
        <v>578</v>
      </c>
      <c r="J46" s="45" t="s">
        <v>144</v>
      </c>
      <c r="K46" s="38" t="s">
        <v>91</v>
      </c>
      <c r="L46" s="38" t="s">
        <v>92</v>
      </c>
      <c r="M46" s="38" t="s">
        <v>92</v>
      </c>
      <c r="N46" s="45"/>
      <c r="O46" s="45" t="s">
        <v>766</v>
      </c>
      <c r="P46" s="28"/>
      <c r="Q46" s="28"/>
      <c r="R46" s="28"/>
      <c r="S46" s="28"/>
      <c r="T46" s="28"/>
      <c r="U46" s="28"/>
      <c r="V46" s="28"/>
      <c r="W46" s="28"/>
      <c r="X46" s="28"/>
      <c r="Y46" s="28"/>
      <c r="Z46" s="28"/>
    </row>
    <row r="47">
      <c r="A47" s="38" t="s">
        <v>769</v>
      </c>
      <c r="B47" s="38" t="s">
        <v>30</v>
      </c>
      <c r="C47" s="45" t="s">
        <v>771</v>
      </c>
      <c r="D47" s="38" t="s">
        <v>734</v>
      </c>
      <c r="E47" s="38" t="s">
        <v>735</v>
      </c>
      <c r="F47" s="45" t="s">
        <v>773</v>
      </c>
      <c r="G47" s="45"/>
      <c r="H47" s="45" t="s">
        <v>750</v>
      </c>
      <c r="I47" s="45" t="s">
        <v>776</v>
      </c>
      <c r="J47" s="45" t="s">
        <v>144</v>
      </c>
      <c r="K47" s="38" t="s">
        <v>91</v>
      </c>
      <c r="L47" s="38" t="s">
        <v>105</v>
      </c>
      <c r="M47" s="38" t="s">
        <v>105</v>
      </c>
      <c r="N47" s="45"/>
      <c r="O47" s="45" t="s">
        <v>136</v>
      </c>
      <c r="P47" s="28"/>
      <c r="Q47" s="28"/>
      <c r="R47" s="28"/>
      <c r="S47" s="28"/>
      <c r="T47" s="28"/>
      <c r="U47" s="28"/>
      <c r="V47" s="28"/>
      <c r="W47" s="28"/>
      <c r="X47" s="28"/>
      <c r="Y47" s="28"/>
      <c r="Z47" s="28"/>
    </row>
    <row r="48">
      <c r="A48" s="38" t="s">
        <v>780</v>
      </c>
      <c r="B48" s="38" t="s">
        <v>30</v>
      </c>
      <c r="C48" s="45" t="s">
        <v>782</v>
      </c>
      <c r="D48" s="38" t="s">
        <v>734</v>
      </c>
      <c r="E48" s="38" t="s">
        <v>735</v>
      </c>
      <c r="F48" s="45" t="s">
        <v>736</v>
      </c>
      <c r="G48" s="45" t="s">
        <v>203</v>
      </c>
      <c r="H48" s="45" t="s">
        <v>750</v>
      </c>
      <c r="I48" s="45" t="s">
        <v>556</v>
      </c>
      <c r="J48" s="45" t="s">
        <v>142</v>
      </c>
      <c r="K48" s="38" t="s">
        <v>91</v>
      </c>
      <c r="L48" s="38" t="s">
        <v>427</v>
      </c>
      <c r="M48" s="38" t="s">
        <v>92</v>
      </c>
      <c r="N48" s="45"/>
      <c r="O48" s="45" t="s">
        <v>145</v>
      </c>
      <c r="P48" s="28"/>
      <c r="Q48" s="28"/>
      <c r="R48" s="28"/>
      <c r="S48" s="28"/>
      <c r="T48" s="28"/>
      <c r="U48" s="28"/>
      <c r="V48" s="28"/>
      <c r="W48" s="28"/>
      <c r="X48" s="28"/>
      <c r="Y48" s="28"/>
      <c r="Z48" s="28"/>
    </row>
    <row r="49">
      <c r="A49" s="38" t="s">
        <v>785</v>
      </c>
      <c r="B49" s="38" t="s">
        <v>30</v>
      </c>
      <c r="C49" s="45" t="s">
        <v>786</v>
      </c>
      <c r="D49" s="38" t="s">
        <v>734</v>
      </c>
      <c r="E49" s="38" t="s">
        <v>735</v>
      </c>
      <c r="F49" s="45" t="s">
        <v>736</v>
      </c>
      <c r="G49" s="45" t="s">
        <v>242</v>
      </c>
      <c r="H49" s="45" t="s">
        <v>750</v>
      </c>
      <c r="I49" s="45" t="s">
        <v>556</v>
      </c>
      <c r="J49" s="45" t="s">
        <v>142</v>
      </c>
      <c r="K49" s="38" t="s">
        <v>91</v>
      </c>
      <c r="L49" s="38" t="s">
        <v>92</v>
      </c>
      <c r="M49" s="38" t="s">
        <v>92</v>
      </c>
      <c r="N49" s="45"/>
      <c r="O49" s="45" t="s">
        <v>787</v>
      </c>
      <c r="P49" s="28"/>
      <c r="Q49" s="28"/>
      <c r="R49" s="28"/>
      <c r="S49" s="28"/>
      <c r="T49" s="28"/>
      <c r="U49" s="28"/>
      <c r="V49" s="28"/>
      <c r="W49" s="28"/>
      <c r="X49" s="28"/>
      <c r="Y49" s="28"/>
      <c r="Z49" s="28"/>
    </row>
    <row r="50">
      <c r="A50" s="38" t="s">
        <v>788</v>
      </c>
      <c r="B50" s="38" t="s">
        <v>30</v>
      </c>
      <c r="C50" s="45" t="s">
        <v>789</v>
      </c>
      <c r="D50" s="38" t="s">
        <v>734</v>
      </c>
      <c r="E50" s="38" t="s">
        <v>735</v>
      </c>
      <c r="F50" s="45" t="s">
        <v>736</v>
      </c>
      <c r="G50" s="45" t="s">
        <v>790</v>
      </c>
      <c r="H50" s="45" t="s">
        <v>750</v>
      </c>
      <c r="I50" s="45" t="s">
        <v>562</v>
      </c>
      <c r="J50" s="45"/>
      <c r="K50" s="38" t="s">
        <v>172</v>
      </c>
      <c r="L50" s="38" t="s">
        <v>427</v>
      </c>
      <c r="M50" s="38" t="s">
        <v>92</v>
      </c>
      <c r="N50" s="45"/>
      <c r="O50" s="45" t="s">
        <v>791</v>
      </c>
      <c r="P50" s="28"/>
      <c r="Q50" s="28"/>
      <c r="R50" s="28"/>
      <c r="S50" s="28"/>
      <c r="T50" s="28"/>
      <c r="U50" s="28"/>
      <c r="V50" s="28"/>
      <c r="W50" s="28"/>
      <c r="X50" s="28"/>
      <c r="Y50" s="28"/>
      <c r="Z50" s="28"/>
    </row>
    <row r="51">
      <c r="A51" s="38" t="s">
        <v>793</v>
      </c>
      <c r="B51" s="38" t="s">
        <v>30</v>
      </c>
      <c r="C51" s="45" t="s">
        <v>794</v>
      </c>
      <c r="D51" s="38" t="s">
        <v>734</v>
      </c>
      <c r="E51" s="38" t="s">
        <v>735</v>
      </c>
      <c r="F51" s="45" t="s">
        <v>736</v>
      </c>
      <c r="G51" s="45" t="s">
        <v>796</v>
      </c>
      <c r="H51" s="45" t="s">
        <v>750</v>
      </c>
      <c r="I51" s="45" t="s">
        <v>797</v>
      </c>
      <c r="J51" s="45" t="s">
        <v>798</v>
      </c>
      <c r="K51" s="38" t="s">
        <v>91</v>
      </c>
      <c r="L51" s="38" t="s">
        <v>92</v>
      </c>
      <c r="M51" s="38" t="s">
        <v>92</v>
      </c>
      <c r="N51" s="45"/>
      <c r="O51" s="45" t="s">
        <v>801</v>
      </c>
      <c r="P51" s="28"/>
      <c r="Q51" s="28"/>
      <c r="R51" s="28"/>
      <c r="S51" s="28"/>
      <c r="T51" s="28"/>
      <c r="U51" s="28"/>
      <c r="V51" s="28"/>
      <c r="W51" s="28"/>
      <c r="X51" s="28"/>
      <c r="Y51" s="28"/>
      <c r="Z51" s="28"/>
    </row>
    <row r="52">
      <c r="A52" s="38" t="s">
        <v>803</v>
      </c>
      <c r="B52" s="38" t="s">
        <v>30</v>
      </c>
      <c r="C52" s="45" t="s">
        <v>804</v>
      </c>
      <c r="D52" s="38" t="s">
        <v>734</v>
      </c>
      <c r="E52" s="38" t="s">
        <v>735</v>
      </c>
      <c r="F52" s="45" t="s">
        <v>736</v>
      </c>
      <c r="G52" s="45" t="s">
        <v>805</v>
      </c>
      <c r="H52" s="45" t="s">
        <v>750</v>
      </c>
      <c r="I52" s="45" t="s">
        <v>807</v>
      </c>
      <c r="J52" s="45"/>
      <c r="K52" s="38" t="s">
        <v>172</v>
      </c>
      <c r="L52" s="38" t="s">
        <v>105</v>
      </c>
      <c r="M52" s="38" t="s">
        <v>105</v>
      </c>
      <c r="N52" s="45"/>
      <c r="O52" s="45" t="s">
        <v>810</v>
      </c>
      <c r="P52" s="28"/>
      <c r="Q52" s="28"/>
      <c r="R52" s="28"/>
      <c r="S52" s="28"/>
      <c r="T52" s="28"/>
      <c r="U52" s="28"/>
      <c r="V52" s="28"/>
      <c r="W52" s="28"/>
      <c r="X52" s="28"/>
      <c r="Y52" s="28"/>
      <c r="Z52" s="28"/>
    </row>
    <row r="53">
      <c r="A53" s="38" t="s">
        <v>812</v>
      </c>
      <c r="B53" s="38" t="s">
        <v>30</v>
      </c>
      <c r="C53" s="45" t="s">
        <v>266</v>
      </c>
      <c r="D53" s="38" t="s">
        <v>734</v>
      </c>
      <c r="E53" s="38" t="s">
        <v>735</v>
      </c>
      <c r="F53" s="45" t="s">
        <v>736</v>
      </c>
      <c r="G53" s="45" t="s">
        <v>814</v>
      </c>
      <c r="H53" s="45" t="s">
        <v>750</v>
      </c>
      <c r="I53" s="45" t="s">
        <v>183</v>
      </c>
      <c r="J53" s="45" t="s">
        <v>144</v>
      </c>
      <c r="K53" s="38" t="s">
        <v>91</v>
      </c>
      <c r="L53" s="38" t="s">
        <v>121</v>
      </c>
      <c r="M53" s="38" t="s">
        <v>121</v>
      </c>
      <c r="N53" s="45"/>
      <c r="O53" s="45" t="s">
        <v>240</v>
      </c>
      <c r="P53" s="28"/>
      <c r="Q53" s="28"/>
      <c r="R53" s="28"/>
      <c r="S53" s="28"/>
      <c r="T53" s="28"/>
      <c r="U53" s="28"/>
      <c r="V53" s="28"/>
      <c r="W53" s="28"/>
      <c r="X53" s="28"/>
      <c r="Y53" s="28"/>
      <c r="Z53" s="28"/>
    </row>
    <row r="54">
      <c r="A54" s="38" t="s">
        <v>820</v>
      </c>
      <c r="B54" s="38" t="s">
        <v>30</v>
      </c>
      <c r="C54" s="45" t="s">
        <v>821</v>
      </c>
      <c r="D54" s="38" t="s">
        <v>734</v>
      </c>
      <c r="E54" s="38" t="s">
        <v>735</v>
      </c>
      <c r="F54" s="45" t="s">
        <v>736</v>
      </c>
      <c r="G54" s="45" t="s">
        <v>261</v>
      </c>
      <c r="H54" s="45" t="s">
        <v>750</v>
      </c>
      <c r="I54" s="45" t="s">
        <v>579</v>
      </c>
      <c r="J54" s="45"/>
      <c r="K54" s="38" t="s">
        <v>172</v>
      </c>
      <c r="L54" s="38" t="s">
        <v>92</v>
      </c>
      <c r="M54" s="38" t="s">
        <v>92</v>
      </c>
      <c r="N54" s="45"/>
      <c r="O54" s="45" t="s">
        <v>268</v>
      </c>
      <c r="P54" s="28"/>
      <c r="Q54" s="28"/>
      <c r="R54" s="28"/>
      <c r="S54" s="28"/>
      <c r="T54" s="28"/>
      <c r="U54" s="28"/>
      <c r="V54" s="28"/>
      <c r="W54" s="28"/>
      <c r="X54" s="28"/>
      <c r="Y54" s="28"/>
      <c r="Z54" s="28"/>
    </row>
    <row r="55" ht="36.75" customHeight="1">
      <c r="A55" s="49" t="s">
        <v>824</v>
      </c>
      <c r="B55" s="23"/>
      <c r="C55" s="23"/>
      <c r="D55" s="23"/>
      <c r="E55" s="23"/>
      <c r="F55" s="23"/>
      <c r="G55" s="23"/>
      <c r="H55" s="23"/>
      <c r="I55" s="23"/>
      <c r="J55" s="23"/>
      <c r="K55" s="23"/>
      <c r="L55" s="23"/>
      <c r="M55" s="23"/>
      <c r="N55" s="23"/>
      <c r="O55" s="23"/>
      <c r="P55" s="23"/>
      <c r="Q55" s="23"/>
      <c r="R55" s="23"/>
      <c r="S55" s="23"/>
      <c r="T55" s="23"/>
      <c r="U55" s="23"/>
      <c r="V55" s="23"/>
      <c r="W55" s="23"/>
      <c r="X55" s="23"/>
      <c r="Y55" s="23"/>
      <c r="Z55" s="24"/>
    </row>
    <row r="56">
      <c r="A56" s="38" t="s">
        <v>825</v>
      </c>
      <c r="B56" s="38" t="s">
        <v>30</v>
      </c>
      <c r="C56" s="45" t="s">
        <v>827</v>
      </c>
      <c r="D56" s="38" t="s">
        <v>342</v>
      </c>
      <c r="E56" s="38" t="s">
        <v>735</v>
      </c>
      <c r="F56" s="45" t="s">
        <v>829</v>
      </c>
      <c r="G56" s="45" t="s">
        <v>718</v>
      </c>
      <c r="H56" s="45" t="s">
        <v>831</v>
      </c>
      <c r="I56" s="45" t="s">
        <v>832</v>
      </c>
      <c r="J56" s="45" t="s">
        <v>833</v>
      </c>
      <c r="K56" s="38" t="s">
        <v>91</v>
      </c>
      <c r="L56" s="38" t="s">
        <v>92</v>
      </c>
      <c r="M56" s="38" t="s">
        <v>92</v>
      </c>
      <c r="N56" s="45"/>
      <c r="O56" s="45" t="s">
        <v>93</v>
      </c>
      <c r="P56" s="28"/>
      <c r="Q56" s="28"/>
      <c r="R56" s="28"/>
      <c r="S56" s="28"/>
      <c r="T56" s="28"/>
      <c r="U56" s="28"/>
      <c r="V56" s="28"/>
      <c r="W56" s="28"/>
      <c r="X56" s="28"/>
      <c r="Y56" s="28"/>
      <c r="Z56" s="28"/>
    </row>
    <row r="57">
      <c r="A57" s="38" t="s">
        <v>836</v>
      </c>
      <c r="B57" s="38" t="s">
        <v>30</v>
      </c>
      <c r="C57" s="45" t="s">
        <v>838</v>
      </c>
      <c r="D57" s="38" t="s">
        <v>342</v>
      </c>
      <c r="E57" s="38" t="s">
        <v>735</v>
      </c>
      <c r="F57" s="45" t="s">
        <v>736</v>
      </c>
      <c r="G57" s="45" t="s">
        <v>718</v>
      </c>
      <c r="H57" s="45" t="s">
        <v>840</v>
      </c>
      <c r="I57" s="45" t="s">
        <v>841</v>
      </c>
      <c r="J57" s="45" t="s">
        <v>842</v>
      </c>
      <c r="K57" s="38" t="s">
        <v>91</v>
      </c>
      <c r="L57" s="38" t="s">
        <v>92</v>
      </c>
      <c r="M57" s="38" t="s">
        <v>92</v>
      </c>
      <c r="N57" s="45"/>
      <c r="O57" s="45" t="s">
        <v>337</v>
      </c>
      <c r="P57" s="28"/>
      <c r="Q57" s="28"/>
      <c r="R57" s="28"/>
      <c r="S57" s="28"/>
      <c r="T57" s="28"/>
      <c r="U57" s="28"/>
      <c r="V57" s="28"/>
      <c r="W57" s="28"/>
      <c r="X57" s="28"/>
      <c r="Y57" s="28"/>
      <c r="Z57" s="28"/>
    </row>
    <row r="58">
      <c r="A58" s="38" t="s">
        <v>843</v>
      </c>
      <c r="B58" s="38" t="s">
        <v>30</v>
      </c>
      <c r="C58" s="45" t="s">
        <v>747</v>
      </c>
      <c r="D58" s="38" t="s">
        <v>342</v>
      </c>
      <c r="E58" s="38" t="s">
        <v>735</v>
      </c>
      <c r="F58" s="45" t="s">
        <v>844</v>
      </c>
      <c r="G58" s="45"/>
      <c r="H58" s="45" t="s">
        <v>846</v>
      </c>
      <c r="I58" s="45" t="s">
        <v>578</v>
      </c>
      <c r="J58" s="45" t="s">
        <v>144</v>
      </c>
      <c r="K58" s="38" t="s">
        <v>91</v>
      </c>
      <c r="L58" s="38" t="s">
        <v>92</v>
      </c>
      <c r="M58" s="38" t="s">
        <v>92</v>
      </c>
      <c r="N58" s="45"/>
      <c r="O58" s="45" t="s">
        <v>755</v>
      </c>
      <c r="P58" s="28"/>
      <c r="Q58" s="28"/>
      <c r="R58" s="28"/>
      <c r="S58" s="28"/>
      <c r="T58" s="28"/>
      <c r="U58" s="28"/>
      <c r="V58" s="28"/>
      <c r="W58" s="28"/>
      <c r="X58" s="28"/>
      <c r="Y58" s="28"/>
      <c r="Z58" s="28"/>
    </row>
    <row r="59">
      <c r="A59" s="38" t="s">
        <v>848</v>
      </c>
      <c r="B59" s="38" t="s">
        <v>30</v>
      </c>
      <c r="C59" s="45" t="s">
        <v>759</v>
      </c>
      <c r="D59" s="38" t="s">
        <v>342</v>
      </c>
      <c r="E59" s="38" t="s">
        <v>735</v>
      </c>
      <c r="F59" s="45" t="s">
        <v>761</v>
      </c>
      <c r="G59" s="45"/>
      <c r="H59" s="45" t="s">
        <v>846</v>
      </c>
      <c r="I59" s="45" t="s">
        <v>578</v>
      </c>
      <c r="J59" s="45" t="s">
        <v>144</v>
      </c>
      <c r="K59" s="38" t="s">
        <v>91</v>
      </c>
      <c r="L59" s="38" t="s">
        <v>92</v>
      </c>
      <c r="M59" s="38" t="s">
        <v>92</v>
      </c>
      <c r="N59" s="45"/>
      <c r="O59" s="45" t="s">
        <v>766</v>
      </c>
      <c r="P59" s="28"/>
      <c r="Q59" s="28"/>
      <c r="R59" s="28"/>
      <c r="S59" s="28"/>
      <c r="T59" s="28"/>
      <c r="U59" s="28"/>
      <c r="V59" s="28"/>
      <c r="W59" s="28"/>
      <c r="X59" s="28"/>
      <c r="Y59" s="28"/>
      <c r="Z59" s="28"/>
    </row>
    <row r="60">
      <c r="A60" s="38" t="s">
        <v>851</v>
      </c>
      <c r="B60" s="38" t="s">
        <v>30</v>
      </c>
      <c r="C60" s="45" t="s">
        <v>852</v>
      </c>
      <c r="D60" s="38" t="s">
        <v>342</v>
      </c>
      <c r="E60" s="38" t="s">
        <v>735</v>
      </c>
      <c r="F60" s="45" t="s">
        <v>433</v>
      </c>
      <c r="G60" s="45" t="s">
        <v>718</v>
      </c>
      <c r="H60" s="45" t="s">
        <v>846</v>
      </c>
      <c r="I60" s="45" t="s">
        <v>855</v>
      </c>
      <c r="J60" s="45" t="s">
        <v>144</v>
      </c>
      <c r="K60" s="38" t="s">
        <v>91</v>
      </c>
      <c r="L60" s="38" t="s">
        <v>92</v>
      </c>
      <c r="M60" s="38" t="s">
        <v>92</v>
      </c>
      <c r="N60" s="45"/>
      <c r="O60" s="45" t="s">
        <v>856</v>
      </c>
      <c r="P60" s="28"/>
      <c r="Q60" s="28"/>
      <c r="R60" s="28"/>
      <c r="S60" s="28"/>
      <c r="T60" s="28"/>
      <c r="U60" s="28"/>
      <c r="V60" s="28"/>
      <c r="W60" s="28"/>
      <c r="X60" s="28"/>
      <c r="Y60" s="28"/>
      <c r="Z60" s="28"/>
    </row>
    <row r="61">
      <c r="A61" s="38" t="s">
        <v>858</v>
      </c>
      <c r="B61" s="38" t="s">
        <v>30</v>
      </c>
      <c r="C61" s="45" t="s">
        <v>859</v>
      </c>
      <c r="D61" s="38" t="s">
        <v>342</v>
      </c>
      <c r="E61" s="38" t="s">
        <v>735</v>
      </c>
      <c r="F61" s="45" t="s">
        <v>860</v>
      </c>
      <c r="G61" s="45" t="s">
        <v>718</v>
      </c>
      <c r="H61" s="45" t="s">
        <v>846</v>
      </c>
      <c r="I61" s="45" t="s">
        <v>861</v>
      </c>
      <c r="J61" s="45" t="s">
        <v>144</v>
      </c>
      <c r="K61" s="38" t="s">
        <v>91</v>
      </c>
      <c r="L61" s="38" t="s">
        <v>105</v>
      </c>
      <c r="M61" s="38" t="s">
        <v>92</v>
      </c>
      <c r="N61" s="45"/>
      <c r="O61" s="45" t="s">
        <v>367</v>
      </c>
      <c r="P61" s="28"/>
      <c r="Q61" s="28"/>
      <c r="R61" s="28"/>
      <c r="S61" s="28"/>
      <c r="T61" s="28"/>
      <c r="U61" s="28"/>
      <c r="V61" s="28"/>
      <c r="W61" s="28"/>
      <c r="X61" s="28"/>
      <c r="Y61" s="28"/>
      <c r="Z61" s="28"/>
    </row>
    <row r="62">
      <c r="A62" s="38" t="s">
        <v>866</v>
      </c>
      <c r="B62" s="38" t="s">
        <v>30</v>
      </c>
      <c r="C62" s="45" t="s">
        <v>867</v>
      </c>
      <c r="D62" s="38" t="s">
        <v>342</v>
      </c>
      <c r="E62" s="38" t="s">
        <v>735</v>
      </c>
      <c r="F62" s="45" t="s">
        <v>869</v>
      </c>
      <c r="G62" s="45" t="s">
        <v>718</v>
      </c>
      <c r="H62" s="45" t="s">
        <v>846</v>
      </c>
      <c r="I62" s="45" t="s">
        <v>871</v>
      </c>
      <c r="J62" s="45" t="s">
        <v>144</v>
      </c>
      <c r="K62" s="38" t="s">
        <v>91</v>
      </c>
      <c r="L62" s="38" t="s">
        <v>105</v>
      </c>
      <c r="M62" s="38" t="s">
        <v>105</v>
      </c>
      <c r="N62" s="45"/>
      <c r="O62" s="45" t="s">
        <v>873</v>
      </c>
      <c r="P62" s="28"/>
      <c r="Q62" s="28"/>
      <c r="R62" s="28"/>
      <c r="S62" s="28"/>
      <c r="T62" s="28"/>
      <c r="U62" s="28"/>
      <c r="V62" s="28"/>
      <c r="W62" s="28"/>
      <c r="X62" s="28"/>
      <c r="Y62" s="28"/>
      <c r="Z62" s="28"/>
    </row>
    <row r="63">
      <c r="A63" s="38" t="s">
        <v>874</v>
      </c>
      <c r="B63" s="38" t="s">
        <v>30</v>
      </c>
      <c r="C63" s="45" t="s">
        <v>875</v>
      </c>
      <c r="D63" s="38" t="s">
        <v>342</v>
      </c>
      <c r="E63" s="38" t="s">
        <v>735</v>
      </c>
      <c r="F63" s="45" t="s">
        <v>877</v>
      </c>
      <c r="G63" s="45" t="s">
        <v>718</v>
      </c>
      <c r="H63" s="45" t="s">
        <v>846</v>
      </c>
      <c r="I63" s="45" t="s">
        <v>861</v>
      </c>
      <c r="J63" s="45"/>
      <c r="K63" s="38" t="s">
        <v>172</v>
      </c>
      <c r="L63" s="38" t="s">
        <v>105</v>
      </c>
      <c r="M63" s="38" t="s">
        <v>105</v>
      </c>
      <c r="N63" s="45"/>
      <c r="O63" s="45" t="s">
        <v>878</v>
      </c>
      <c r="P63" s="28"/>
      <c r="Q63" s="28"/>
      <c r="R63" s="28"/>
      <c r="S63" s="28"/>
      <c r="T63" s="28"/>
      <c r="U63" s="28"/>
      <c r="V63" s="28"/>
      <c r="W63" s="28"/>
      <c r="X63" s="28"/>
      <c r="Y63" s="28"/>
      <c r="Z63" s="28"/>
    </row>
    <row r="64">
      <c r="A64" s="38" t="s">
        <v>880</v>
      </c>
      <c r="B64" s="38" t="s">
        <v>30</v>
      </c>
      <c r="C64" s="45" t="s">
        <v>882</v>
      </c>
      <c r="D64" s="38" t="s">
        <v>342</v>
      </c>
      <c r="E64" s="38" t="s">
        <v>735</v>
      </c>
      <c r="F64" s="45" t="s">
        <v>883</v>
      </c>
      <c r="G64" s="45" t="s">
        <v>884</v>
      </c>
      <c r="H64" s="45" t="s">
        <v>846</v>
      </c>
      <c r="I64" s="45" t="s">
        <v>662</v>
      </c>
      <c r="J64" s="45" t="s">
        <v>144</v>
      </c>
      <c r="K64" s="38" t="s">
        <v>91</v>
      </c>
      <c r="L64" s="38" t="s">
        <v>92</v>
      </c>
      <c r="M64" s="38" t="s">
        <v>92</v>
      </c>
      <c r="N64" s="45"/>
      <c r="O64" s="45" t="s">
        <v>885</v>
      </c>
      <c r="P64" s="28"/>
      <c r="Q64" s="28"/>
      <c r="R64" s="28"/>
      <c r="S64" s="28"/>
      <c r="T64" s="28"/>
      <c r="U64" s="28"/>
      <c r="V64" s="28"/>
      <c r="W64" s="28"/>
      <c r="X64" s="28"/>
      <c r="Y64" s="28"/>
      <c r="Z64" s="28"/>
    </row>
    <row r="65">
      <c r="A65" s="38" t="s">
        <v>887</v>
      </c>
      <c r="B65" s="38" t="s">
        <v>30</v>
      </c>
      <c r="C65" s="45" t="s">
        <v>389</v>
      </c>
      <c r="D65" s="38" t="s">
        <v>342</v>
      </c>
      <c r="E65" s="38" t="s">
        <v>735</v>
      </c>
      <c r="F65" s="45" t="s">
        <v>736</v>
      </c>
      <c r="G65" s="45" t="s">
        <v>888</v>
      </c>
      <c r="H65" s="45" t="s">
        <v>846</v>
      </c>
      <c r="I65" s="45" t="s">
        <v>556</v>
      </c>
      <c r="J65" s="45" t="s">
        <v>144</v>
      </c>
      <c r="K65" s="38" t="s">
        <v>91</v>
      </c>
      <c r="L65" s="38" t="s">
        <v>427</v>
      </c>
      <c r="M65" s="38" t="s">
        <v>92</v>
      </c>
      <c r="N65" s="45"/>
      <c r="O65" s="45" t="s">
        <v>145</v>
      </c>
      <c r="P65" s="28"/>
      <c r="Q65" s="28"/>
      <c r="R65" s="28"/>
      <c r="S65" s="28"/>
      <c r="T65" s="28"/>
      <c r="U65" s="28"/>
      <c r="V65" s="28"/>
      <c r="W65" s="28"/>
      <c r="X65" s="28"/>
      <c r="Y65" s="28"/>
      <c r="Z65" s="28"/>
    </row>
    <row r="66">
      <c r="A66" s="38" t="s">
        <v>891</v>
      </c>
      <c r="B66" s="38" t="s">
        <v>30</v>
      </c>
      <c r="C66" s="45" t="s">
        <v>404</v>
      </c>
      <c r="D66" s="38" t="s">
        <v>342</v>
      </c>
      <c r="E66" s="38" t="s">
        <v>735</v>
      </c>
      <c r="F66" s="45" t="s">
        <v>736</v>
      </c>
      <c r="G66" s="45" t="s">
        <v>404</v>
      </c>
      <c r="H66" s="45" t="s">
        <v>846</v>
      </c>
      <c r="I66" s="45" t="s">
        <v>556</v>
      </c>
      <c r="J66" s="45" t="s">
        <v>144</v>
      </c>
      <c r="K66" s="38" t="s">
        <v>91</v>
      </c>
      <c r="L66" s="38" t="s">
        <v>92</v>
      </c>
      <c r="M66" s="38" t="s">
        <v>92</v>
      </c>
      <c r="N66" s="45"/>
      <c r="O66" s="45" t="s">
        <v>151</v>
      </c>
      <c r="P66" s="28"/>
      <c r="Q66" s="28"/>
      <c r="R66" s="28"/>
      <c r="S66" s="28"/>
      <c r="T66" s="28"/>
      <c r="U66" s="28"/>
      <c r="V66" s="28"/>
      <c r="W66" s="28"/>
      <c r="X66" s="28"/>
      <c r="Y66" s="28"/>
      <c r="Z66" s="28"/>
    </row>
    <row r="67">
      <c r="A67" s="38" t="s">
        <v>897</v>
      </c>
      <c r="B67" s="38" t="s">
        <v>30</v>
      </c>
      <c r="C67" s="45" t="s">
        <v>900</v>
      </c>
      <c r="D67" s="38" t="s">
        <v>342</v>
      </c>
      <c r="E67" s="38" t="s">
        <v>735</v>
      </c>
      <c r="F67" s="45" t="s">
        <v>736</v>
      </c>
      <c r="G67" s="45" t="s">
        <v>902</v>
      </c>
      <c r="H67" s="45" t="s">
        <v>846</v>
      </c>
      <c r="I67" s="45" t="s">
        <v>562</v>
      </c>
      <c r="J67" s="45" t="s">
        <v>144</v>
      </c>
      <c r="K67" s="38" t="s">
        <v>91</v>
      </c>
      <c r="L67" s="38" t="s">
        <v>427</v>
      </c>
      <c r="M67" s="38" t="s">
        <v>92</v>
      </c>
      <c r="N67" s="45"/>
      <c r="O67" s="45" t="s">
        <v>402</v>
      </c>
      <c r="P67" s="28"/>
      <c r="Q67" s="28"/>
      <c r="R67" s="28"/>
      <c r="S67" s="28"/>
      <c r="T67" s="28"/>
      <c r="U67" s="28"/>
      <c r="V67" s="28"/>
      <c r="W67" s="28"/>
      <c r="X67" s="28"/>
      <c r="Y67" s="28"/>
      <c r="Z67" s="28"/>
    </row>
    <row r="68">
      <c r="A68" s="38" t="s">
        <v>907</v>
      </c>
      <c r="B68" s="38" t="s">
        <v>30</v>
      </c>
      <c r="C68" s="45" t="s">
        <v>908</v>
      </c>
      <c r="D68" s="38" t="s">
        <v>342</v>
      </c>
      <c r="E68" s="38" t="s">
        <v>735</v>
      </c>
      <c r="F68" s="45" t="s">
        <v>911</v>
      </c>
      <c r="G68" s="45" t="s">
        <v>912</v>
      </c>
      <c r="H68" s="45" t="s">
        <v>846</v>
      </c>
      <c r="I68" s="45" t="s">
        <v>562</v>
      </c>
      <c r="J68" s="45"/>
      <c r="K68" s="38" t="s">
        <v>172</v>
      </c>
      <c r="L68" s="38" t="s">
        <v>427</v>
      </c>
      <c r="M68" s="38" t="s">
        <v>92</v>
      </c>
      <c r="N68" s="45"/>
      <c r="O68" s="45" t="s">
        <v>263</v>
      </c>
      <c r="P68" s="28"/>
      <c r="Q68" s="28"/>
      <c r="R68" s="28"/>
      <c r="S68" s="28"/>
      <c r="T68" s="28"/>
      <c r="U68" s="28"/>
      <c r="V68" s="28"/>
      <c r="W68" s="28"/>
      <c r="X68" s="28"/>
      <c r="Y68" s="28"/>
      <c r="Z68" s="28"/>
    </row>
    <row r="69">
      <c r="A69" s="38" t="s">
        <v>917</v>
      </c>
      <c r="B69" s="38" t="s">
        <v>30</v>
      </c>
      <c r="C69" s="45" t="s">
        <v>266</v>
      </c>
      <c r="D69" s="38" t="s">
        <v>342</v>
      </c>
      <c r="E69" s="38" t="s">
        <v>735</v>
      </c>
      <c r="F69" s="45" t="s">
        <v>736</v>
      </c>
      <c r="G69" s="45" t="s">
        <v>814</v>
      </c>
      <c r="H69" s="45" t="s">
        <v>846</v>
      </c>
      <c r="I69" s="45" t="s">
        <v>183</v>
      </c>
      <c r="J69" s="45" t="s">
        <v>144</v>
      </c>
      <c r="K69" s="38" t="s">
        <v>91</v>
      </c>
      <c r="L69" s="38" t="s">
        <v>121</v>
      </c>
      <c r="M69" s="38" t="s">
        <v>121</v>
      </c>
      <c r="N69" s="45"/>
      <c r="O69" s="45" t="s">
        <v>240</v>
      </c>
      <c r="P69" s="28"/>
      <c r="Q69" s="28"/>
      <c r="R69" s="28"/>
      <c r="S69" s="28"/>
      <c r="T69" s="28"/>
      <c r="U69" s="28"/>
      <c r="V69" s="28"/>
      <c r="W69" s="28"/>
      <c r="X69" s="28"/>
      <c r="Y69" s="28"/>
      <c r="Z69" s="28"/>
    </row>
    <row r="70">
      <c r="A70" s="38" t="s">
        <v>924</v>
      </c>
      <c r="B70" s="38" t="s">
        <v>30</v>
      </c>
      <c r="C70" s="45" t="s">
        <v>926</v>
      </c>
      <c r="D70" s="38" t="s">
        <v>342</v>
      </c>
      <c r="E70" s="38" t="s">
        <v>735</v>
      </c>
      <c r="F70" s="45" t="s">
        <v>736</v>
      </c>
      <c r="G70" s="45" t="s">
        <v>928</v>
      </c>
      <c r="H70" s="45" t="s">
        <v>929</v>
      </c>
      <c r="I70" s="45" t="s">
        <v>930</v>
      </c>
      <c r="J70" s="45"/>
      <c r="K70" s="38" t="s">
        <v>172</v>
      </c>
      <c r="L70" s="38" t="s">
        <v>105</v>
      </c>
      <c r="M70" s="38" t="s">
        <v>105</v>
      </c>
      <c r="N70" s="45"/>
      <c r="O70" s="45" t="s">
        <v>933</v>
      </c>
      <c r="P70" s="28"/>
      <c r="Q70" s="28"/>
      <c r="R70" s="28"/>
      <c r="S70" s="28"/>
      <c r="T70" s="28"/>
      <c r="U70" s="28"/>
      <c r="V70" s="28"/>
      <c r="W70" s="28"/>
      <c r="X70" s="28"/>
      <c r="Y70" s="28"/>
      <c r="Z70" s="28"/>
    </row>
    <row r="71">
      <c r="A71" s="38" t="s">
        <v>934</v>
      </c>
      <c r="B71" s="38" t="s">
        <v>30</v>
      </c>
      <c r="C71" s="45" t="s">
        <v>935</v>
      </c>
      <c r="D71" s="38" t="s">
        <v>342</v>
      </c>
      <c r="E71" s="38" t="s">
        <v>735</v>
      </c>
      <c r="F71" s="45" t="s">
        <v>736</v>
      </c>
      <c r="G71" s="45" t="s">
        <v>261</v>
      </c>
      <c r="H71" s="45" t="s">
        <v>846</v>
      </c>
      <c r="I71" s="45" t="s">
        <v>579</v>
      </c>
      <c r="J71" s="45"/>
      <c r="K71" s="38" t="s">
        <v>172</v>
      </c>
      <c r="L71" s="38" t="s">
        <v>92</v>
      </c>
      <c r="M71" s="38" t="s">
        <v>92</v>
      </c>
      <c r="N71" s="45"/>
      <c r="O71" s="45" t="s">
        <v>268</v>
      </c>
      <c r="P71" s="28"/>
      <c r="Q71" s="28"/>
      <c r="R71" s="28"/>
      <c r="S71" s="28"/>
      <c r="T71" s="28"/>
      <c r="U71" s="28"/>
      <c r="V71" s="28"/>
      <c r="W71" s="28"/>
      <c r="X71" s="28"/>
      <c r="Y71" s="28"/>
      <c r="Z71" s="28"/>
    </row>
    <row r="72">
      <c r="A72" s="38" t="s">
        <v>940</v>
      </c>
      <c r="B72" s="38" t="s">
        <v>30</v>
      </c>
      <c r="C72" s="45" t="s">
        <v>941</v>
      </c>
      <c r="D72" s="38" t="s">
        <v>342</v>
      </c>
      <c r="E72" s="38" t="s">
        <v>735</v>
      </c>
      <c r="F72" s="45" t="s">
        <v>942</v>
      </c>
      <c r="G72" s="45" t="s">
        <v>718</v>
      </c>
      <c r="H72" s="45" t="s">
        <v>846</v>
      </c>
      <c r="I72" s="45" t="s">
        <v>945</v>
      </c>
      <c r="J72" s="45"/>
      <c r="K72" s="38" t="s">
        <v>172</v>
      </c>
      <c r="L72" s="38" t="s">
        <v>427</v>
      </c>
      <c r="M72" s="38" t="s">
        <v>92</v>
      </c>
      <c r="N72" s="45"/>
      <c r="O72" s="45" t="s">
        <v>948</v>
      </c>
      <c r="P72" s="28"/>
      <c r="Q72" s="28"/>
      <c r="R72" s="28"/>
      <c r="S72" s="28"/>
      <c r="T72" s="28"/>
      <c r="U72" s="28"/>
      <c r="V72" s="28"/>
      <c r="W72" s="28"/>
      <c r="X72" s="28"/>
      <c r="Y72" s="28"/>
      <c r="Z72" s="28"/>
    </row>
    <row r="73">
      <c r="A73" s="38" t="s">
        <v>953</v>
      </c>
      <c r="B73" s="38" t="s">
        <v>30</v>
      </c>
      <c r="C73" s="45" t="s">
        <v>954</v>
      </c>
      <c r="D73" s="38" t="s">
        <v>342</v>
      </c>
      <c r="E73" s="38" t="s">
        <v>735</v>
      </c>
      <c r="F73" s="45" t="s">
        <v>956</v>
      </c>
      <c r="G73" s="45" t="s">
        <v>718</v>
      </c>
      <c r="H73" s="45" t="s">
        <v>846</v>
      </c>
      <c r="I73" s="45" t="s">
        <v>959</v>
      </c>
      <c r="J73" s="45"/>
      <c r="K73" s="38" t="s">
        <v>172</v>
      </c>
      <c r="L73" s="38" t="s">
        <v>427</v>
      </c>
      <c r="M73" s="38" t="s">
        <v>92</v>
      </c>
      <c r="N73" s="45"/>
      <c r="O73" s="45" t="s">
        <v>961</v>
      </c>
      <c r="P73" s="28"/>
      <c r="Q73" s="28"/>
      <c r="R73" s="28"/>
      <c r="S73" s="28"/>
      <c r="T73" s="28"/>
      <c r="U73" s="28"/>
      <c r="V73" s="28"/>
      <c r="W73" s="28"/>
      <c r="X73" s="28"/>
      <c r="Y73" s="28"/>
      <c r="Z73" s="28"/>
    </row>
    <row r="74" ht="33.0" customHeight="1">
      <c r="A74" s="49" t="s">
        <v>962</v>
      </c>
      <c r="B74" s="23"/>
      <c r="C74" s="23"/>
      <c r="D74" s="23"/>
      <c r="E74" s="23"/>
      <c r="F74" s="23"/>
      <c r="G74" s="23"/>
      <c r="H74" s="23"/>
      <c r="I74" s="23"/>
      <c r="J74" s="23"/>
      <c r="K74" s="23"/>
      <c r="L74" s="23"/>
      <c r="M74" s="23"/>
      <c r="N74" s="23"/>
      <c r="O74" s="23"/>
      <c r="P74" s="23"/>
      <c r="Q74" s="23"/>
      <c r="R74" s="23"/>
      <c r="S74" s="23"/>
      <c r="T74" s="23"/>
      <c r="U74" s="23"/>
      <c r="V74" s="23"/>
      <c r="W74" s="23"/>
      <c r="X74" s="23"/>
      <c r="Y74" s="23"/>
      <c r="Z74" s="24"/>
    </row>
    <row r="75">
      <c r="A75" s="38" t="s">
        <v>965</v>
      </c>
      <c r="B75" s="38" t="s">
        <v>30</v>
      </c>
      <c r="C75" s="39" t="s">
        <v>968</v>
      </c>
      <c r="D75" s="38" t="s">
        <v>219</v>
      </c>
      <c r="E75" s="38" t="s">
        <v>609</v>
      </c>
      <c r="F75" s="39" t="s">
        <v>969</v>
      </c>
      <c r="G75" s="39" t="s">
        <v>970</v>
      </c>
      <c r="H75" s="39" t="s">
        <v>223</v>
      </c>
      <c r="I75" s="39" t="s">
        <v>971</v>
      </c>
      <c r="J75" s="39" t="s">
        <v>972</v>
      </c>
      <c r="K75" s="38" t="s">
        <v>91</v>
      </c>
      <c r="L75" s="8" t="s">
        <v>92</v>
      </c>
      <c r="M75" s="8" t="s">
        <v>92</v>
      </c>
      <c r="N75" s="41"/>
      <c r="O75" s="39" t="s">
        <v>93</v>
      </c>
      <c r="P75" s="28"/>
      <c r="Q75" s="28"/>
      <c r="R75" s="28"/>
      <c r="S75" s="28"/>
      <c r="T75" s="28"/>
      <c r="U75" s="28"/>
      <c r="V75" s="28"/>
      <c r="W75" s="28"/>
      <c r="X75" s="28"/>
      <c r="Y75" s="28"/>
      <c r="Z75" s="28"/>
    </row>
    <row r="76">
      <c r="A76" s="38" t="s">
        <v>980</v>
      </c>
      <c r="B76" s="38" t="s">
        <v>30</v>
      </c>
      <c r="C76" s="39" t="s">
        <v>95</v>
      </c>
      <c r="D76" s="38" t="s">
        <v>219</v>
      </c>
      <c r="E76" s="38" t="s">
        <v>609</v>
      </c>
      <c r="F76" s="39" t="s">
        <v>969</v>
      </c>
      <c r="G76" s="39"/>
      <c r="H76" s="39" t="s">
        <v>223</v>
      </c>
      <c r="I76" s="39" t="s">
        <v>983</v>
      </c>
      <c r="J76" s="39" t="s">
        <v>984</v>
      </c>
      <c r="K76" s="38" t="s">
        <v>91</v>
      </c>
      <c r="L76" s="8" t="s">
        <v>92</v>
      </c>
      <c r="M76" s="8" t="s">
        <v>92</v>
      </c>
      <c r="N76" s="41"/>
      <c r="O76" s="39" t="s">
        <v>100</v>
      </c>
      <c r="P76" s="28"/>
      <c r="Q76" s="28"/>
      <c r="R76" s="28"/>
      <c r="S76" s="28"/>
      <c r="T76" s="28"/>
      <c r="U76" s="28"/>
      <c r="V76" s="28"/>
      <c r="W76" s="28"/>
      <c r="X76" s="28"/>
      <c r="Y76" s="28"/>
      <c r="Z76" s="28"/>
    </row>
    <row r="77">
      <c r="A77" s="38" t="s">
        <v>985</v>
      </c>
      <c r="B77" s="38" t="s">
        <v>30</v>
      </c>
      <c r="C77" s="39" t="s">
        <v>539</v>
      </c>
      <c r="D77" s="38" t="s">
        <v>219</v>
      </c>
      <c r="E77" s="38" t="s">
        <v>609</v>
      </c>
      <c r="F77" s="39" t="s">
        <v>969</v>
      </c>
      <c r="G77" s="39"/>
      <c r="H77" s="39" t="s">
        <v>223</v>
      </c>
      <c r="I77" s="39" t="s">
        <v>988</v>
      </c>
      <c r="J77" s="39" t="s">
        <v>144</v>
      </c>
      <c r="K77" s="38" t="s">
        <v>91</v>
      </c>
      <c r="L77" s="8" t="s">
        <v>105</v>
      </c>
      <c r="M77" s="8" t="s">
        <v>105</v>
      </c>
      <c r="N77" s="41"/>
      <c r="O77" s="39" t="s">
        <v>992</v>
      </c>
      <c r="P77" s="28"/>
      <c r="Q77" s="28"/>
      <c r="R77" s="28"/>
      <c r="S77" s="28"/>
      <c r="T77" s="28"/>
      <c r="U77" s="28"/>
      <c r="V77" s="28"/>
      <c r="W77" s="28"/>
      <c r="X77" s="28"/>
      <c r="Y77" s="28"/>
      <c r="Z77" s="28"/>
    </row>
    <row r="78">
      <c r="A78" s="38" t="s">
        <v>993</v>
      </c>
      <c r="B78" s="38" t="s">
        <v>30</v>
      </c>
      <c r="C78" s="39" t="s">
        <v>994</v>
      </c>
      <c r="D78" s="38" t="s">
        <v>219</v>
      </c>
      <c r="E78" s="38" t="s">
        <v>609</v>
      </c>
      <c r="F78" s="39" t="s">
        <v>969</v>
      </c>
      <c r="G78" s="39"/>
      <c r="H78" s="39" t="s">
        <v>997</v>
      </c>
      <c r="I78" s="39" t="s">
        <v>998</v>
      </c>
      <c r="J78" s="39" t="s">
        <v>999</v>
      </c>
      <c r="K78" s="38" t="s">
        <v>91</v>
      </c>
      <c r="L78" s="8" t="s">
        <v>92</v>
      </c>
      <c r="M78" s="8" t="s">
        <v>92</v>
      </c>
      <c r="N78" s="41"/>
      <c r="O78" s="39" t="s">
        <v>337</v>
      </c>
      <c r="P78" s="28"/>
      <c r="Q78" s="28"/>
      <c r="R78" s="28"/>
      <c r="S78" s="28"/>
      <c r="T78" s="28"/>
      <c r="U78" s="28"/>
      <c r="V78" s="28"/>
      <c r="W78" s="28"/>
      <c r="X78" s="28"/>
      <c r="Y78" s="28"/>
      <c r="Z78" s="28"/>
    </row>
    <row r="79">
      <c r="A79" s="38" t="s">
        <v>1003</v>
      </c>
      <c r="B79" s="38" t="s">
        <v>30</v>
      </c>
      <c r="C79" s="39" t="s">
        <v>852</v>
      </c>
      <c r="D79" s="38" t="s">
        <v>219</v>
      </c>
      <c r="E79" s="38" t="s">
        <v>609</v>
      </c>
      <c r="F79" s="39" t="s">
        <v>433</v>
      </c>
      <c r="G79" s="39"/>
      <c r="H79" s="39" t="s">
        <v>223</v>
      </c>
      <c r="I79" s="39" t="s">
        <v>1007</v>
      </c>
      <c r="J79" s="39" t="s">
        <v>144</v>
      </c>
      <c r="K79" s="38" t="s">
        <v>91</v>
      </c>
      <c r="L79" s="8" t="s">
        <v>92</v>
      </c>
      <c r="M79" s="8" t="s">
        <v>92</v>
      </c>
      <c r="N79" s="41"/>
      <c r="O79" s="39" t="s">
        <v>856</v>
      </c>
      <c r="P79" s="28"/>
      <c r="Q79" s="28"/>
      <c r="R79" s="28"/>
      <c r="S79" s="28"/>
      <c r="T79" s="28"/>
      <c r="U79" s="28"/>
      <c r="V79" s="28"/>
      <c r="W79" s="28"/>
      <c r="X79" s="28"/>
      <c r="Y79" s="28"/>
      <c r="Z79" s="28"/>
    </row>
    <row r="80">
      <c r="A80" s="38" t="s">
        <v>1010</v>
      </c>
      <c r="B80" s="38" t="s">
        <v>30</v>
      </c>
      <c r="C80" s="39" t="s">
        <v>859</v>
      </c>
      <c r="D80" s="38" t="s">
        <v>219</v>
      </c>
      <c r="E80" s="38" t="s">
        <v>609</v>
      </c>
      <c r="F80" s="39" t="s">
        <v>860</v>
      </c>
      <c r="G80" s="39"/>
      <c r="H80" s="39" t="s">
        <v>223</v>
      </c>
      <c r="I80" s="39" t="s">
        <v>1007</v>
      </c>
      <c r="J80" s="39" t="s">
        <v>144</v>
      </c>
      <c r="K80" s="38" t="s">
        <v>91</v>
      </c>
      <c r="L80" s="8" t="s">
        <v>92</v>
      </c>
      <c r="M80" s="8" t="s">
        <v>92</v>
      </c>
      <c r="N80" s="41"/>
      <c r="O80" s="39" t="s">
        <v>367</v>
      </c>
      <c r="P80" s="28"/>
      <c r="Q80" s="28"/>
      <c r="R80" s="28"/>
      <c r="S80" s="28"/>
      <c r="T80" s="28"/>
      <c r="U80" s="28"/>
      <c r="V80" s="28"/>
      <c r="W80" s="28"/>
      <c r="X80" s="28"/>
      <c r="Y80" s="28"/>
      <c r="Z80" s="28"/>
    </row>
    <row r="81">
      <c r="A81" s="38" t="s">
        <v>1015</v>
      </c>
      <c r="B81" s="38" t="s">
        <v>30</v>
      </c>
      <c r="C81" s="39" t="s">
        <v>1016</v>
      </c>
      <c r="D81" s="38" t="s">
        <v>219</v>
      </c>
      <c r="E81" s="38" t="s">
        <v>609</v>
      </c>
      <c r="F81" s="39" t="s">
        <v>869</v>
      </c>
      <c r="G81" s="39"/>
      <c r="H81" s="39" t="s">
        <v>223</v>
      </c>
      <c r="I81" s="39" t="s">
        <v>1020</v>
      </c>
      <c r="J81" s="39" t="s">
        <v>144</v>
      </c>
      <c r="K81" s="38" t="s">
        <v>91</v>
      </c>
      <c r="L81" s="8" t="s">
        <v>105</v>
      </c>
      <c r="M81" s="8" t="s">
        <v>105</v>
      </c>
      <c r="N81" s="41"/>
      <c r="O81" s="39" t="s">
        <v>1021</v>
      </c>
      <c r="P81" s="28"/>
      <c r="Q81" s="28"/>
      <c r="R81" s="28"/>
      <c r="S81" s="28"/>
      <c r="T81" s="28"/>
      <c r="U81" s="28"/>
      <c r="V81" s="28"/>
      <c r="W81" s="28"/>
      <c r="X81" s="28"/>
      <c r="Y81" s="28"/>
      <c r="Z81" s="28"/>
    </row>
    <row r="82">
      <c r="A82" s="38" t="s">
        <v>1024</v>
      </c>
      <c r="B82" s="38" t="s">
        <v>30</v>
      </c>
      <c r="C82" s="39" t="s">
        <v>875</v>
      </c>
      <c r="D82" s="38" t="s">
        <v>219</v>
      </c>
      <c r="E82" s="38" t="s">
        <v>609</v>
      </c>
      <c r="F82" s="39" t="s">
        <v>877</v>
      </c>
      <c r="G82" s="39"/>
      <c r="H82" s="39" t="s">
        <v>223</v>
      </c>
      <c r="I82" s="39" t="s">
        <v>1028</v>
      </c>
      <c r="J82" s="39" t="s">
        <v>1030</v>
      </c>
      <c r="K82" s="38" t="s">
        <v>91</v>
      </c>
      <c r="L82" s="8" t="s">
        <v>105</v>
      </c>
      <c r="M82" s="8" t="s">
        <v>105</v>
      </c>
      <c r="N82" s="41"/>
      <c r="O82" s="39" t="s">
        <v>878</v>
      </c>
      <c r="P82" s="28"/>
      <c r="Q82" s="28"/>
      <c r="R82" s="28"/>
      <c r="S82" s="28"/>
      <c r="T82" s="28"/>
      <c r="U82" s="28"/>
      <c r="V82" s="28"/>
      <c r="W82" s="28"/>
      <c r="X82" s="28"/>
      <c r="Y82" s="28"/>
      <c r="Z82" s="28"/>
    </row>
    <row r="83">
      <c r="A83" s="38" t="s">
        <v>1033</v>
      </c>
      <c r="B83" s="38" t="s">
        <v>30</v>
      </c>
      <c r="C83" s="39" t="s">
        <v>882</v>
      </c>
      <c r="D83" s="38" t="s">
        <v>219</v>
      </c>
      <c r="E83" s="38" t="s">
        <v>609</v>
      </c>
      <c r="F83" s="39" t="s">
        <v>1036</v>
      </c>
      <c r="G83" s="39" t="s">
        <v>1037</v>
      </c>
      <c r="H83" s="39" t="s">
        <v>223</v>
      </c>
      <c r="I83" s="39" t="s">
        <v>797</v>
      </c>
      <c r="J83" s="39" t="s">
        <v>1038</v>
      </c>
      <c r="K83" s="38" t="s">
        <v>91</v>
      </c>
      <c r="L83" s="8" t="s">
        <v>92</v>
      </c>
      <c r="M83" s="8" t="s">
        <v>92</v>
      </c>
      <c r="N83" s="41"/>
      <c r="O83" s="39" t="s">
        <v>885</v>
      </c>
      <c r="P83" s="28"/>
      <c r="Q83" s="28"/>
      <c r="R83" s="28"/>
      <c r="S83" s="28"/>
      <c r="T83" s="28"/>
      <c r="U83" s="28"/>
      <c r="V83" s="28"/>
      <c r="W83" s="28"/>
      <c r="X83" s="28"/>
      <c r="Y83" s="28"/>
      <c r="Z83" s="28"/>
    </row>
    <row r="84">
      <c r="A84" s="38" t="s">
        <v>1039</v>
      </c>
      <c r="B84" s="38" t="s">
        <v>30</v>
      </c>
      <c r="C84" s="39" t="s">
        <v>389</v>
      </c>
      <c r="D84" s="38" t="s">
        <v>219</v>
      </c>
      <c r="E84" s="38" t="s">
        <v>609</v>
      </c>
      <c r="F84" s="39" t="s">
        <v>969</v>
      </c>
      <c r="G84" s="39" t="s">
        <v>888</v>
      </c>
      <c r="H84" s="39" t="s">
        <v>223</v>
      </c>
      <c r="I84" s="39" t="s">
        <v>556</v>
      </c>
      <c r="J84" s="39" t="s">
        <v>144</v>
      </c>
      <c r="K84" s="38" t="s">
        <v>91</v>
      </c>
      <c r="L84" s="8" t="s">
        <v>427</v>
      </c>
      <c r="M84" s="8" t="s">
        <v>92</v>
      </c>
      <c r="N84" s="41"/>
      <c r="O84" s="39" t="s">
        <v>145</v>
      </c>
      <c r="P84" s="28"/>
      <c r="Q84" s="28"/>
      <c r="R84" s="28"/>
      <c r="S84" s="28"/>
      <c r="T84" s="28"/>
      <c r="U84" s="28"/>
      <c r="V84" s="28"/>
      <c r="W84" s="28"/>
      <c r="X84" s="28"/>
      <c r="Y84" s="28"/>
      <c r="Z84" s="28"/>
    </row>
    <row r="85">
      <c r="A85" s="38" t="s">
        <v>1040</v>
      </c>
      <c r="B85" s="38" t="s">
        <v>30</v>
      </c>
      <c r="C85" s="39" t="s">
        <v>153</v>
      </c>
      <c r="D85" s="38" t="s">
        <v>219</v>
      </c>
      <c r="E85" s="38" t="s">
        <v>609</v>
      </c>
      <c r="F85" s="39" t="s">
        <v>969</v>
      </c>
      <c r="G85" s="39" t="s">
        <v>404</v>
      </c>
      <c r="H85" s="39" t="s">
        <v>223</v>
      </c>
      <c r="I85" s="39" t="s">
        <v>556</v>
      </c>
      <c r="J85" s="39" t="s">
        <v>144</v>
      </c>
      <c r="K85" s="38" t="s">
        <v>91</v>
      </c>
      <c r="L85" s="8" t="s">
        <v>92</v>
      </c>
      <c r="M85" s="8" t="s">
        <v>92</v>
      </c>
      <c r="N85" s="41"/>
      <c r="O85" s="39" t="s">
        <v>151</v>
      </c>
      <c r="P85" s="28"/>
      <c r="Q85" s="28"/>
      <c r="R85" s="28"/>
      <c r="S85" s="28"/>
      <c r="T85" s="28"/>
      <c r="U85" s="28"/>
      <c r="V85" s="28"/>
      <c r="W85" s="28"/>
      <c r="X85" s="28"/>
      <c r="Y85" s="28"/>
      <c r="Z85" s="28"/>
    </row>
    <row r="86">
      <c r="A86" s="38" t="s">
        <v>1041</v>
      </c>
      <c r="B86" s="38" t="s">
        <v>30</v>
      </c>
      <c r="C86" s="39" t="s">
        <v>1042</v>
      </c>
      <c r="D86" s="38" t="s">
        <v>219</v>
      </c>
      <c r="E86" s="38" t="s">
        <v>609</v>
      </c>
      <c r="F86" s="39" t="s">
        <v>969</v>
      </c>
      <c r="G86" s="39" t="s">
        <v>902</v>
      </c>
      <c r="H86" s="39" t="s">
        <v>223</v>
      </c>
      <c r="I86" s="39" t="s">
        <v>562</v>
      </c>
      <c r="J86" s="39"/>
      <c r="K86" s="38" t="s">
        <v>172</v>
      </c>
      <c r="L86" s="8" t="s">
        <v>427</v>
      </c>
      <c r="M86" s="8" t="s">
        <v>92</v>
      </c>
      <c r="N86" s="41"/>
      <c r="O86" s="39" t="s">
        <v>402</v>
      </c>
      <c r="P86" s="28"/>
      <c r="Q86" s="28"/>
      <c r="R86" s="28"/>
      <c r="S86" s="28"/>
      <c r="T86" s="28"/>
      <c r="U86" s="28"/>
      <c r="V86" s="28"/>
      <c r="W86" s="28"/>
      <c r="X86" s="28"/>
      <c r="Y86" s="28"/>
      <c r="Z86" s="28"/>
    </row>
    <row r="87">
      <c r="A87" s="38" t="s">
        <v>1043</v>
      </c>
      <c r="B87" s="38" t="s">
        <v>30</v>
      </c>
      <c r="C87" s="39" t="s">
        <v>1044</v>
      </c>
      <c r="D87" s="38" t="s">
        <v>219</v>
      </c>
      <c r="E87" s="38" t="s">
        <v>609</v>
      </c>
      <c r="F87" s="39" t="s">
        <v>942</v>
      </c>
      <c r="G87" s="39"/>
      <c r="H87" s="39" t="s">
        <v>223</v>
      </c>
      <c r="I87" s="39" t="s">
        <v>1045</v>
      </c>
      <c r="J87" s="39"/>
      <c r="K87" s="38" t="s">
        <v>172</v>
      </c>
      <c r="L87" s="8" t="s">
        <v>427</v>
      </c>
      <c r="M87" s="8" t="s">
        <v>92</v>
      </c>
      <c r="N87" s="41"/>
      <c r="O87" s="39" t="s">
        <v>948</v>
      </c>
      <c r="P87" s="28"/>
      <c r="Q87" s="28"/>
      <c r="R87" s="28"/>
      <c r="S87" s="28"/>
      <c r="T87" s="28"/>
      <c r="U87" s="28"/>
      <c r="V87" s="28"/>
      <c r="W87" s="28"/>
      <c r="X87" s="28"/>
      <c r="Y87" s="28"/>
      <c r="Z87" s="28"/>
    </row>
    <row r="88">
      <c r="A88" s="38" t="s">
        <v>1046</v>
      </c>
      <c r="B88" s="38" t="s">
        <v>30</v>
      </c>
      <c r="C88" s="39" t="s">
        <v>1047</v>
      </c>
      <c r="D88" s="38" t="s">
        <v>219</v>
      </c>
      <c r="E88" s="38" t="s">
        <v>609</v>
      </c>
      <c r="F88" s="39" t="s">
        <v>956</v>
      </c>
      <c r="G88" s="39"/>
      <c r="H88" s="39" t="s">
        <v>223</v>
      </c>
      <c r="I88" s="39" t="s">
        <v>959</v>
      </c>
      <c r="J88" s="39"/>
      <c r="K88" s="38" t="s">
        <v>172</v>
      </c>
      <c r="L88" s="8" t="s">
        <v>427</v>
      </c>
      <c r="M88" s="8" t="s">
        <v>92</v>
      </c>
      <c r="N88" s="41"/>
      <c r="O88" s="39" t="s">
        <v>961</v>
      </c>
      <c r="P88" s="28"/>
      <c r="Q88" s="28"/>
      <c r="R88" s="28"/>
      <c r="S88" s="28"/>
      <c r="T88" s="28"/>
      <c r="U88" s="28"/>
      <c r="V88" s="28"/>
      <c r="W88" s="28"/>
      <c r="X88" s="28"/>
      <c r="Y88" s="28"/>
      <c r="Z88" s="28"/>
    </row>
    <row r="89">
      <c r="A89" s="38" t="s">
        <v>1048</v>
      </c>
      <c r="B89" s="38" t="s">
        <v>30</v>
      </c>
      <c r="C89" s="39" t="s">
        <v>266</v>
      </c>
      <c r="D89" s="38" t="s">
        <v>219</v>
      </c>
      <c r="E89" s="38" t="s">
        <v>609</v>
      </c>
      <c r="F89" s="39" t="s">
        <v>1049</v>
      </c>
      <c r="G89" s="39" t="s">
        <v>814</v>
      </c>
      <c r="H89" s="39" t="s">
        <v>223</v>
      </c>
      <c r="I89" s="39" t="s">
        <v>183</v>
      </c>
      <c r="J89" s="39" t="s">
        <v>144</v>
      </c>
      <c r="K89" s="38" t="s">
        <v>91</v>
      </c>
      <c r="L89" s="8" t="s">
        <v>121</v>
      </c>
      <c r="M89" s="8" t="s">
        <v>121</v>
      </c>
      <c r="N89" s="41"/>
      <c r="O89" s="39" t="s">
        <v>240</v>
      </c>
      <c r="P89" s="28"/>
      <c r="Q89" s="28"/>
      <c r="R89" s="28"/>
      <c r="S89" s="28"/>
      <c r="T89" s="28"/>
      <c r="U89" s="28"/>
      <c r="V89" s="28"/>
      <c r="W89" s="28"/>
      <c r="X89" s="28"/>
      <c r="Y89" s="28"/>
      <c r="Z89" s="28"/>
    </row>
    <row r="90">
      <c r="A90" s="38" t="s">
        <v>1050</v>
      </c>
      <c r="B90" s="38" t="s">
        <v>30</v>
      </c>
      <c r="C90" s="39" t="s">
        <v>1051</v>
      </c>
      <c r="D90" s="38" t="s">
        <v>219</v>
      </c>
      <c r="E90" s="38" t="s">
        <v>609</v>
      </c>
      <c r="F90" s="39" t="s">
        <v>969</v>
      </c>
      <c r="G90" s="39" t="s">
        <v>928</v>
      </c>
      <c r="H90" s="39" t="s">
        <v>1052</v>
      </c>
      <c r="I90" s="39" t="s">
        <v>1053</v>
      </c>
      <c r="J90" s="39"/>
      <c r="K90" s="38" t="s">
        <v>172</v>
      </c>
      <c r="L90" s="8" t="s">
        <v>105</v>
      </c>
      <c r="M90" s="8" t="s">
        <v>105</v>
      </c>
      <c r="N90" s="41"/>
      <c r="O90" s="39" t="s">
        <v>933</v>
      </c>
      <c r="P90" s="28"/>
      <c r="Q90" s="28"/>
      <c r="R90" s="28"/>
      <c r="S90" s="28"/>
      <c r="T90" s="28"/>
      <c r="U90" s="28"/>
      <c r="V90" s="28"/>
      <c r="W90" s="28"/>
      <c r="X90" s="28"/>
      <c r="Y90" s="28"/>
      <c r="Z90" s="28"/>
    </row>
    <row r="91">
      <c r="A91" s="38" t="s">
        <v>1054</v>
      </c>
      <c r="B91" s="38" t="s">
        <v>30</v>
      </c>
      <c r="C91" s="39" t="s">
        <v>1055</v>
      </c>
      <c r="D91" s="38" t="s">
        <v>219</v>
      </c>
      <c r="E91" s="38" t="s">
        <v>609</v>
      </c>
      <c r="F91" s="39" t="s">
        <v>969</v>
      </c>
      <c r="G91" s="39" t="s">
        <v>261</v>
      </c>
      <c r="H91" s="39" t="s">
        <v>223</v>
      </c>
      <c r="I91" s="39" t="s">
        <v>579</v>
      </c>
      <c r="J91" s="39"/>
      <c r="K91" s="38" t="s">
        <v>172</v>
      </c>
      <c r="L91" s="8" t="s">
        <v>92</v>
      </c>
      <c r="M91" s="8" t="s">
        <v>92</v>
      </c>
      <c r="N91" s="41"/>
      <c r="O91" s="39" t="s">
        <v>268</v>
      </c>
      <c r="P91" s="28"/>
      <c r="Q91" s="28"/>
      <c r="R91" s="28"/>
      <c r="S91" s="28"/>
      <c r="T91" s="28"/>
      <c r="U91" s="28"/>
      <c r="V91" s="28"/>
      <c r="W91" s="28"/>
      <c r="X91" s="28"/>
      <c r="Y91" s="28"/>
      <c r="Z91" s="28"/>
    </row>
    <row r="92">
      <c r="A92" s="68"/>
      <c r="B92" s="28"/>
      <c r="C92" s="28"/>
      <c r="D92" s="26"/>
      <c r="E92" s="28"/>
      <c r="F92" s="28"/>
      <c r="G92" s="28"/>
      <c r="H92" s="28"/>
      <c r="I92" s="28"/>
      <c r="J92" s="28"/>
      <c r="K92" s="28"/>
      <c r="L92" s="28"/>
      <c r="M92" s="28"/>
      <c r="N92" s="28"/>
      <c r="O92" s="28"/>
      <c r="P92" s="28"/>
      <c r="Q92" s="28"/>
      <c r="R92" s="28"/>
      <c r="S92" s="28"/>
      <c r="T92" s="28"/>
      <c r="U92" s="28"/>
      <c r="V92" s="28"/>
      <c r="W92" s="28"/>
      <c r="X92" s="28"/>
      <c r="Y92" s="28"/>
      <c r="Z92" s="28"/>
    </row>
    <row r="93">
      <c r="A93" s="68"/>
      <c r="B93" s="28"/>
      <c r="C93" s="28"/>
      <c r="D93" s="26"/>
      <c r="E93" s="28"/>
      <c r="F93" s="28"/>
      <c r="G93" s="28"/>
      <c r="H93" s="28"/>
      <c r="I93" s="28"/>
      <c r="J93" s="28"/>
      <c r="K93" s="28"/>
      <c r="L93" s="28"/>
      <c r="M93" s="28"/>
      <c r="N93" s="28"/>
      <c r="O93" s="28"/>
      <c r="P93" s="28"/>
      <c r="Q93" s="28"/>
      <c r="R93" s="28"/>
      <c r="S93" s="28"/>
      <c r="T93" s="28"/>
      <c r="U93" s="28"/>
      <c r="V93" s="28"/>
      <c r="W93" s="28"/>
      <c r="X93" s="28"/>
      <c r="Y93" s="28"/>
      <c r="Z93" s="28"/>
    </row>
    <row r="94">
      <c r="A94" s="68"/>
      <c r="B94" s="28"/>
      <c r="C94" s="28"/>
      <c r="D94" s="26"/>
      <c r="E94" s="28"/>
      <c r="F94" s="28"/>
      <c r="G94" s="28"/>
      <c r="H94" s="28"/>
      <c r="I94" s="28"/>
      <c r="J94" s="28"/>
      <c r="K94" s="28"/>
      <c r="L94" s="28"/>
      <c r="M94" s="28"/>
      <c r="N94" s="28"/>
      <c r="O94" s="28"/>
      <c r="P94" s="28"/>
      <c r="Q94" s="28"/>
      <c r="R94" s="28"/>
      <c r="S94" s="28"/>
      <c r="T94" s="28"/>
      <c r="U94" s="28"/>
      <c r="V94" s="28"/>
      <c r="W94" s="28"/>
      <c r="X94" s="28"/>
      <c r="Y94" s="28"/>
      <c r="Z94" s="28"/>
    </row>
    <row r="95">
      <c r="A95" s="68"/>
      <c r="B95" s="28"/>
      <c r="C95" s="28"/>
      <c r="D95" s="26"/>
      <c r="E95" s="28"/>
      <c r="F95" s="28"/>
      <c r="G95" s="28"/>
      <c r="H95" s="28"/>
      <c r="I95" s="28"/>
      <c r="J95" s="28"/>
      <c r="K95" s="28"/>
      <c r="L95" s="28"/>
      <c r="M95" s="28"/>
      <c r="N95" s="28"/>
      <c r="O95" s="28"/>
      <c r="P95" s="28"/>
      <c r="Q95" s="28"/>
      <c r="R95" s="28"/>
      <c r="S95" s="28"/>
      <c r="T95" s="28"/>
      <c r="U95" s="28"/>
      <c r="V95" s="28"/>
      <c r="W95" s="28"/>
      <c r="X95" s="28"/>
      <c r="Y95" s="28"/>
      <c r="Z95" s="28"/>
    </row>
    <row r="96">
      <c r="A96" s="68"/>
      <c r="B96" s="28"/>
      <c r="C96" s="28"/>
      <c r="D96" s="26"/>
      <c r="E96" s="28"/>
      <c r="F96" s="28"/>
      <c r="G96" s="28"/>
      <c r="H96" s="28"/>
      <c r="I96" s="28"/>
      <c r="J96" s="28"/>
      <c r="K96" s="28"/>
      <c r="L96" s="28"/>
      <c r="M96" s="28"/>
      <c r="N96" s="28"/>
      <c r="O96" s="28"/>
      <c r="P96" s="28"/>
      <c r="Q96" s="28"/>
      <c r="R96" s="28"/>
      <c r="S96" s="28"/>
      <c r="T96" s="28"/>
      <c r="U96" s="28"/>
      <c r="V96" s="28"/>
      <c r="W96" s="28"/>
      <c r="X96" s="28"/>
      <c r="Y96" s="28"/>
      <c r="Z96" s="28"/>
    </row>
    <row r="97">
      <c r="A97" s="68"/>
      <c r="B97" s="28"/>
      <c r="C97" s="28"/>
      <c r="D97" s="26"/>
      <c r="E97" s="28"/>
      <c r="F97" s="28"/>
      <c r="G97" s="28"/>
      <c r="H97" s="28"/>
      <c r="I97" s="28"/>
      <c r="J97" s="28"/>
      <c r="K97" s="28"/>
      <c r="L97" s="28"/>
      <c r="M97" s="28"/>
      <c r="N97" s="28"/>
      <c r="O97" s="28"/>
      <c r="P97" s="28"/>
      <c r="Q97" s="28"/>
      <c r="R97" s="28"/>
      <c r="S97" s="28"/>
      <c r="T97" s="28"/>
      <c r="U97" s="28"/>
      <c r="V97" s="28"/>
      <c r="W97" s="28"/>
      <c r="X97" s="28"/>
      <c r="Y97" s="28"/>
      <c r="Z97" s="28"/>
    </row>
    <row r="98">
      <c r="A98" s="68"/>
      <c r="B98" s="28"/>
      <c r="C98" s="28"/>
      <c r="D98" s="26"/>
      <c r="E98" s="28"/>
      <c r="F98" s="28"/>
      <c r="G98" s="28"/>
      <c r="H98" s="28"/>
      <c r="I98" s="28"/>
      <c r="J98" s="28"/>
      <c r="K98" s="28"/>
      <c r="L98" s="28"/>
      <c r="M98" s="28"/>
      <c r="N98" s="28"/>
      <c r="O98" s="28"/>
      <c r="P98" s="28"/>
      <c r="Q98" s="28"/>
      <c r="R98" s="28"/>
      <c r="S98" s="28"/>
      <c r="T98" s="28"/>
      <c r="U98" s="28"/>
      <c r="V98" s="28"/>
      <c r="W98" s="28"/>
      <c r="X98" s="28"/>
      <c r="Y98" s="28"/>
      <c r="Z98" s="28"/>
    </row>
    <row r="99">
      <c r="A99" s="68"/>
      <c r="B99" s="28"/>
      <c r="C99" s="28"/>
      <c r="D99" s="26"/>
      <c r="E99" s="28"/>
      <c r="F99" s="28"/>
      <c r="G99" s="28"/>
      <c r="H99" s="28"/>
      <c r="I99" s="28"/>
      <c r="J99" s="28"/>
      <c r="K99" s="28"/>
      <c r="L99" s="28"/>
      <c r="M99" s="28"/>
      <c r="N99" s="28"/>
      <c r="O99" s="28"/>
      <c r="P99" s="28"/>
      <c r="Q99" s="28"/>
      <c r="R99" s="28"/>
      <c r="S99" s="28"/>
      <c r="T99" s="28"/>
      <c r="U99" s="28"/>
      <c r="V99" s="28"/>
      <c r="W99" s="28"/>
      <c r="X99" s="28"/>
      <c r="Y99" s="28"/>
      <c r="Z99" s="28"/>
    </row>
    <row r="100">
      <c r="A100" s="68"/>
      <c r="B100" s="28"/>
      <c r="C100" s="28"/>
      <c r="D100" s="26"/>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68"/>
      <c r="B101" s="28"/>
      <c r="C101" s="28"/>
      <c r="D101" s="26"/>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68"/>
      <c r="B102" s="28"/>
      <c r="C102" s="28"/>
      <c r="D102" s="26"/>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68"/>
      <c r="B103" s="28"/>
      <c r="C103" s="28"/>
      <c r="D103" s="26"/>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68"/>
      <c r="B104" s="28"/>
      <c r="C104" s="28"/>
      <c r="D104" s="26"/>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68"/>
      <c r="B105" s="28"/>
      <c r="C105" s="28"/>
      <c r="D105" s="26"/>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68"/>
      <c r="B106" s="28"/>
      <c r="C106" s="28"/>
      <c r="D106" s="26"/>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68"/>
      <c r="B107" s="28"/>
      <c r="C107" s="28"/>
      <c r="D107" s="26"/>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68"/>
      <c r="B108" s="28"/>
      <c r="C108" s="28"/>
      <c r="D108" s="26"/>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68"/>
      <c r="B109" s="28"/>
      <c r="C109" s="28"/>
      <c r="D109" s="26"/>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68"/>
      <c r="B110" s="28"/>
      <c r="C110" s="28"/>
      <c r="D110" s="26"/>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68"/>
      <c r="B111" s="28"/>
      <c r="C111" s="28"/>
      <c r="D111" s="26"/>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68"/>
      <c r="B112" s="28"/>
      <c r="C112" s="28"/>
      <c r="D112" s="26"/>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68"/>
      <c r="B113" s="28"/>
      <c r="C113" s="28"/>
      <c r="D113" s="26"/>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68"/>
      <c r="B114" s="28"/>
      <c r="C114" s="28"/>
      <c r="D114" s="26"/>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68"/>
      <c r="B115" s="28"/>
      <c r="C115" s="28"/>
      <c r="D115" s="26"/>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68"/>
      <c r="B116" s="28"/>
      <c r="C116" s="28"/>
      <c r="D116" s="26"/>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68"/>
      <c r="B117" s="28"/>
      <c r="C117" s="28"/>
      <c r="D117" s="26"/>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68"/>
      <c r="B118" s="28"/>
      <c r="C118" s="28"/>
      <c r="D118" s="26"/>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68"/>
      <c r="B119" s="28"/>
      <c r="C119" s="28"/>
      <c r="D119" s="26"/>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68"/>
      <c r="B120" s="28"/>
      <c r="C120" s="28"/>
      <c r="D120" s="26"/>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68"/>
      <c r="B121" s="28"/>
      <c r="C121" s="28"/>
      <c r="D121" s="26"/>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68"/>
      <c r="B122" s="28"/>
      <c r="C122" s="28"/>
      <c r="D122" s="26"/>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68"/>
      <c r="B123" s="28"/>
      <c r="C123" s="28"/>
      <c r="D123" s="26"/>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68"/>
      <c r="B124" s="28"/>
      <c r="C124" s="28"/>
      <c r="D124" s="26"/>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68"/>
      <c r="B125" s="28"/>
      <c r="C125" s="28"/>
      <c r="D125" s="26"/>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68"/>
      <c r="B126" s="28"/>
      <c r="C126" s="28"/>
      <c r="D126" s="26"/>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68"/>
      <c r="B127" s="28"/>
      <c r="C127" s="28"/>
      <c r="D127" s="26"/>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68"/>
      <c r="B128" s="28"/>
      <c r="C128" s="28"/>
      <c r="D128" s="26"/>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68"/>
      <c r="B129" s="28"/>
      <c r="C129" s="28"/>
      <c r="D129" s="26"/>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68"/>
      <c r="B130" s="28"/>
      <c r="C130" s="28"/>
      <c r="D130" s="26"/>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68"/>
      <c r="B131" s="28"/>
      <c r="C131" s="28"/>
      <c r="D131" s="26"/>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68"/>
      <c r="B132" s="28"/>
      <c r="C132" s="28"/>
      <c r="D132" s="26"/>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68"/>
      <c r="B133" s="28"/>
      <c r="C133" s="28"/>
      <c r="D133" s="26"/>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68"/>
      <c r="B134" s="28"/>
      <c r="C134" s="28"/>
      <c r="D134" s="26"/>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68"/>
      <c r="B135" s="28"/>
      <c r="C135" s="28"/>
      <c r="D135" s="26"/>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68"/>
      <c r="B136" s="28"/>
      <c r="C136" s="28"/>
      <c r="D136" s="26"/>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68"/>
      <c r="B137" s="28"/>
      <c r="C137" s="28"/>
      <c r="D137" s="26"/>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68"/>
      <c r="B138" s="28"/>
      <c r="C138" s="28"/>
      <c r="D138" s="26"/>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68"/>
      <c r="B139" s="28"/>
      <c r="C139" s="28"/>
      <c r="D139" s="26"/>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68"/>
      <c r="B140" s="28"/>
      <c r="C140" s="28"/>
      <c r="D140" s="26"/>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68"/>
      <c r="B141" s="28"/>
      <c r="C141" s="28"/>
      <c r="D141" s="26"/>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68"/>
      <c r="B142" s="28"/>
      <c r="C142" s="28"/>
      <c r="D142" s="26"/>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68"/>
      <c r="B143" s="28"/>
      <c r="C143" s="28"/>
      <c r="D143" s="26"/>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68"/>
      <c r="B144" s="28"/>
      <c r="C144" s="28"/>
      <c r="D144" s="26"/>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68"/>
      <c r="B145" s="28"/>
      <c r="C145" s="28"/>
      <c r="D145" s="26"/>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68"/>
      <c r="B146" s="28"/>
      <c r="C146" s="28"/>
      <c r="D146" s="26"/>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68"/>
      <c r="B147" s="28"/>
      <c r="C147" s="28"/>
      <c r="D147" s="26"/>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68"/>
      <c r="B148" s="28"/>
      <c r="C148" s="28"/>
      <c r="D148" s="26"/>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68"/>
      <c r="B149" s="28"/>
      <c r="C149" s="28"/>
      <c r="D149" s="26"/>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68"/>
      <c r="B150" s="28"/>
      <c r="C150" s="28"/>
      <c r="D150" s="26"/>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68"/>
      <c r="B151" s="28"/>
      <c r="C151" s="28"/>
      <c r="D151" s="26"/>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68"/>
      <c r="B152" s="28"/>
      <c r="C152" s="28"/>
      <c r="D152" s="26"/>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68"/>
      <c r="B153" s="28"/>
      <c r="C153" s="28"/>
      <c r="D153" s="26"/>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68"/>
      <c r="B154" s="28"/>
      <c r="C154" s="28"/>
      <c r="D154" s="26"/>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68"/>
      <c r="B155" s="28"/>
      <c r="C155" s="28"/>
      <c r="D155" s="26"/>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68"/>
      <c r="B156" s="28"/>
      <c r="C156" s="28"/>
      <c r="D156" s="26"/>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68"/>
      <c r="B157" s="28"/>
      <c r="C157" s="28"/>
      <c r="D157" s="26"/>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68"/>
      <c r="B158" s="28"/>
      <c r="C158" s="28"/>
      <c r="D158" s="26"/>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68"/>
      <c r="B159" s="28"/>
      <c r="C159" s="28"/>
      <c r="D159" s="26"/>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68"/>
      <c r="B160" s="28"/>
      <c r="C160" s="28"/>
      <c r="D160" s="26"/>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68"/>
      <c r="B161" s="28"/>
      <c r="C161" s="28"/>
      <c r="D161" s="26"/>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68"/>
      <c r="B162" s="28"/>
      <c r="C162" s="28"/>
      <c r="D162" s="26"/>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68"/>
      <c r="B163" s="28"/>
      <c r="C163" s="28"/>
      <c r="D163" s="26"/>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68"/>
      <c r="B164" s="28"/>
      <c r="C164" s="28"/>
      <c r="D164" s="26"/>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68"/>
      <c r="B165" s="28"/>
      <c r="C165" s="28"/>
      <c r="D165" s="26"/>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68"/>
      <c r="B166" s="28"/>
      <c r="C166" s="28"/>
      <c r="D166" s="26"/>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68"/>
      <c r="B167" s="28"/>
      <c r="C167" s="28"/>
      <c r="D167" s="26"/>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68"/>
      <c r="B168" s="28"/>
      <c r="C168" s="28"/>
      <c r="D168" s="26"/>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68"/>
      <c r="B169" s="28"/>
      <c r="C169" s="28"/>
      <c r="D169" s="26"/>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68"/>
      <c r="B170" s="28"/>
      <c r="C170" s="28"/>
      <c r="D170" s="26"/>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68"/>
      <c r="B171" s="28"/>
      <c r="C171" s="28"/>
      <c r="D171" s="26"/>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68"/>
      <c r="B172" s="28"/>
      <c r="C172" s="28"/>
      <c r="D172" s="26"/>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68"/>
      <c r="B173" s="28"/>
      <c r="C173" s="28"/>
      <c r="D173" s="26"/>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68"/>
      <c r="B174" s="28"/>
      <c r="C174" s="28"/>
      <c r="D174" s="26"/>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68"/>
      <c r="B175" s="28"/>
      <c r="C175" s="28"/>
      <c r="D175" s="26"/>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68"/>
      <c r="B176" s="28"/>
      <c r="C176" s="28"/>
      <c r="D176" s="26"/>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68"/>
      <c r="B177" s="28"/>
      <c r="C177" s="28"/>
      <c r="D177" s="26"/>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68"/>
      <c r="B178" s="28"/>
      <c r="C178" s="28"/>
      <c r="D178" s="26"/>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68"/>
      <c r="B179" s="28"/>
      <c r="C179" s="28"/>
      <c r="D179" s="26"/>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68"/>
      <c r="B180" s="28"/>
      <c r="C180" s="28"/>
      <c r="D180" s="26"/>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68"/>
      <c r="B181" s="28"/>
      <c r="C181" s="28"/>
      <c r="D181" s="26"/>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68"/>
      <c r="B182" s="28"/>
      <c r="C182" s="28"/>
      <c r="D182" s="26"/>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68"/>
      <c r="B183" s="28"/>
      <c r="C183" s="28"/>
      <c r="D183" s="26"/>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68"/>
      <c r="B184" s="28"/>
      <c r="C184" s="28"/>
      <c r="D184" s="26"/>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68"/>
      <c r="B185" s="28"/>
      <c r="C185" s="28"/>
      <c r="D185" s="26"/>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68"/>
      <c r="B186" s="28"/>
      <c r="C186" s="28"/>
      <c r="D186" s="26"/>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68"/>
      <c r="B187" s="28"/>
      <c r="C187" s="28"/>
      <c r="D187" s="26"/>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68"/>
      <c r="B188" s="28"/>
      <c r="C188" s="28"/>
      <c r="D188" s="26"/>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68"/>
      <c r="B189" s="28"/>
      <c r="C189" s="28"/>
      <c r="D189" s="26"/>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68"/>
      <c r="B190" s="28"/>
      <c r="C190" s="28"/>
      <c r="D190" s="26"/>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68"/>
      <c r="B191" s="28"/>
      <c r="C191" s="28"/>
      <c r="D191" s="26"/>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68"/>
      <c r="B192" s="28"/>
      <c r="C192" s="28"/>
      <c r="D192" s="26"/>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68"/>
      <c r="B193" s="28"/>
      <c r="C193" s="28"/>
      <c r="D193" s="26"/>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68"/>
      <c r="B194" s="28"/>
      <c r="C194" s="28"/>
      <c r="D194" s="26"/>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68"/>
      <c r="B195" s="28"/>
      <c r="C195" s="28"/>
      <c r="D195" s="26"/>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68"/>
      <c r="B196" s="28"/>
      <c r="C196" s="28"/>
      <c r="D196" s="26"/>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68"/>
      <c r="B197" s="28"/>
      <c r="C197" s="28"/>
      <c r="D197" s="26"/>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68"/>
      <c r="B198" s="28"/>
      <c r="C198" s="28"/>
      <c r="D198" s="26"/>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68"/>
      <c r="B199" s="28"/>
      <c r="C199" s="28"/>
      <c r="D199" s="26"/>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68"/>
      <c r="B200" s="28"/>
      <c r="C200" s="28"/>
      <c r="D200" s="26"/>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68"/>
      <c r="B201" s="28"/>
      <c r="C201" s="28"/>
      <c r="D201" s="26"/>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68"/>
      <c r="B202" s="28"/>
      <c r="C202" s="28"/>
      <c r="D202" s="26"/>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68"/>
      <c r="B203" s="28"/>
      <c r="C203" s="28"/>
      <c r="D203" s="26"/>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68"/>
      <c r="B204" s="28"/>
      <c r="C204" s="28"/>
      <c r="D204" s="26"/>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68"/>
      <c r="B205" s="28"/>
      <c r="C205" s="28"/>
      <c r="D205" s="26"/>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68"/>
      <c r="B206" s="28"/>
      <c r="C206" s="28"/>
      <c r="D206" s="26"/>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68"/>
      <c r="B207" s="28"/>
      <c r="C207" s="28"/>
      <c r="D207" s="26"/>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68"/>
      <c r="B208" s="28"/>
      <c r="C208" s="28"/>
      <c r="D208" s="26"/>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68"/>
      <c r="B209" s="28"/>
      <c r="C209" s="28"/>
      <c r="D209" s="26"/>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68"/>
      <c r="B210" s="28"/>
      <c r="C210" s="28"/>
      <c r="D210" s="26"/>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68"/>
      <c r="B211" s="28"/>
      <c r="C211" s="28"/>
      <c r="D211" s="26"/>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68"/>
      <c r="B212" s="28"/>
      <c r="C212" s="28"/>
      <c r="D212" s="26"/>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68"/>
      <c r="B213" s="28"/>
      <c r="C213" s="28"/>
      <c r="D213" s="26"/>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68"/>
      <c r="B214" s="28"/>
      <c r="C214" s="28"/>
      <c r="D214" s="26"/>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68"/>
      <c r="B215" s="28"/>
      <c r="C215" s="28"/>
      <c r="D215" s="26"/>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68"/>
      <c r="B216" s="28"/>
      <c r="C216" s="28"/>
      <c r="D216" s="26"/>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68"/>
      <c r="B217" s="28"/>
      <c r="C217" s="28"/>
      <c r="D217" s="26"/>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68"/>
      <c r="B218" s="28"/>
      <c r="C218" s="28"/>
      <c r="D218" s="26"/>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68"/>
      <c r="B219" s="28"/>
      <c r="C219" s="28"/>
      <c r="D219" s="26"/>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68"/>
      <c r="B220" s="28"/>
      <c r="C220" s="28"/>
      <c r="D220" s="26"/>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68"/>
      <c r="B221" s="28"/>
      <c r="C221" s="28"/>
      <c r="D221" s="26"/>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68"/>
      <c r="B222" s="28"/>
      <c r="C222" s="28"/>
      <c r="D222" s="26"/>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68"/>
      <c r="B223" s="28"/>
      <c r="C223" s="28"/>
      <c r="D223" s="26"/>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68"/>
      <c r="B224" s="28"/>
      <c r="C224" s="28"/>
      <c r="D224" s="26"/>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68"/>
      <c r="B225" s="28"/>
      <c r="C225" s="28"/>
      <c r="D225" s="26"/>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68"/>
      <c r="B226" s="28"/>
      <c r="C226" s="28"/>
      <c r="D226" s="26"/>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68"/>
      <c r="B227" s="28"/>
      <c r="C227" s="28"/>
      <c r="D227" s="26"/>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68"/>
      <c r="B228" s="28"/>
      <c r="C228" s="28"/>
      <c r="D228" s="26"/>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68"/>
      <c r="B229" s="28"/>
      <c r="C229" s="28"/>
      <c r="D229" s="26"/>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68"/>
      <c r="B230" s="28"/>
      <c r="C230" s="28"/>
      <c r="D230" s="26"/>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68"/>
      <c r="B231" s="28"/>
      <c r="C231" s="28"/>
      <c r="D231" s="26"/>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68"/>
      <c r="B232" s="28"/>
      <c r="C232" s="28"/>
      <c r="D232" s="26"/>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68"/>
      <c r="B233" s="28"/>
      <c r="C233" s="28"/>
      <c r="D233" s="26"/>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68"/>
      <c r="B234" s="28"/>
      <c r="C234" s="28"/>
      <c r="D234" s="26"/>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68"/>
      <c r="B235" s="28"/>
      <c r="C235" s="28"/>
      <c r="D235" s="26"/>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68"/>
      <c r="B236" s="28"/>
      <c r="C236" s="28"/>
      <c r="D236" s="26"/>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68"/>
      <c r="B237" s="28"/>
      <c r="C237" s="28"/>
      <c r="D237" s="26"/>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68"/>
      <c r="B238" s="28"/>
      <c r="C238" s="28"/>
      <c r="D238" s="26"/>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68"/>
      <c r="B239" s="28"/>
      <c r="C239" s="28"/>
      <c r="D239" s="26"/>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68"/>
      <c r="B240" s="28"/>
      <c r="C240" s="28"/>
      <c r="D240" s="26"/>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68"/>
      <c r="B241" s="28"/>
      <c r="C241" s="28"/>
      <c r="D241" s="26"/>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68"/>
      <c r="B242" s="28"/>
      <c r="C242" s="28"/>
      <c r="D242" s="26"/>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68"/>
      <c r="B243" s="28"/>
      <c r="C243" s="28"/>
      <c r="D243" s="26"/>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68"/>
      <c r="B244" s="28"/>
      <c r="C244" s="28"/>
      <c r="D244" s="26"/>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68"/>
      <c r="B245" s="28"/>
      <c r="C245" s="28"/>
      <c r="D245" s="26"/>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68"/>
      <c r="B246" s="28"/>
      <c r="C246" s="28"/>
      <c r="D246" s="26"/>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68"/>
      <c r="B247" s="28"/>
      <c r="C247" s="28"/>
      <c r="D247" s="26"/>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68"/>
      <c r="B248" s="28"/>
      <c r="C248" s="28"/>
      <c r="D248" s="26"/>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68"/>
      <c r="B249" s="28"/>
      <c r="C249" s="28"/>
      <c r="D249" s="26"/>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68"/>
      <c r="B250" s="28"/>
      <c r="C250" s="28"/>
      <c r="D250" s="26"/>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68"/>
      <c r="B251" s="28"/>
      <c r="C251" s="28"/>
      <c r="D251" s="26"/>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68"/>
      <c r="B252" s="28"/>
      <c r="C252" s="28"/>
      <c r="D252" s="26"/>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68"/>
      <c r="B253" s="28"/>
      <c r="C253" s="28"/>
      <c r="D253" s="26"/>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68"/>
      <c r="B254" s="28"/>
      <c r="C254" s="28"/>
      <c r="D254" s="26"/>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68"/>
      <c r="B255" s="28"/>
      <c r="C255" s="28"/>
      <c r="D255" s="26"/>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68"/>
      <c r="B256" s="28"/>
      <c r="C256" s="28"/>
      <c r="D256" s="26"/>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68"/>
      <c r="B257" s="28"/>
      <c r="C257" s="28"/>
      <c r="D257" s="26"/>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68"/>
      <c r="B258" s="28"/>
      <c r="C258" s="28"/>
      <c r="D258" s="26"/>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68"/>
      <c r="B259" s="28"/>
      <c r="C259" s="28"/>
      <c r="D259" s="26"/>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68"/>
      <c r="B260" s="28"/>
      <c r="C260" s="28"/>
      <c r="D260" s="26"/>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68"/>
      <c r="B261" s="28"/>
      <c r="C261" s="28"/>
      <c r="D261" s="26"/>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68"/>
      <c r="B262" s="28"/>
      <c r="C262" s="28"/>
      <c r="D262" s="26"/>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68"/>
      <c r="B263" s="28"/>
      <c r="C263" s="28"/>
      <c r="D263" s="26"/>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68"/>
      <c r="B264" s="28"/>
      <c r="C264" s="28"/>
      <c r="D264" s="26"/>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68"/>
      <c r="B265" s="28"/>
      <c r="C265" s="28"/>
      <c r="D265" s="26"/>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68"/>
      <c r="B266" s="28"/>
      <c r="C266" s="28"/>
      <c r="D266" s="26"/>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68"/>
      <c r="B267" s="28"/>
      <c r="C267" s="28"/>
      <c r="D267" s="26"/>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68"/>
      <c r="B268" s="28"/>
      <c r="C268" s="28"/>
      <c r="D268" s="26"/>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68"/>
      <c r="B269" s="28"/>
      <c r="C269" s="28"/>
      <c r="D269" s="26"/>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68"/>
      <c r="B270" s="28"/>
      <c r="C270" s="28"/>
      <c r="D270" s="26"/>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68"/>
      <c r="B271" s="28"/>
      <c r="C271" s="28"/>
      <c r="D271" s="26"/>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68"/>
      <c r="B272" s="28"/>
      <c r="C272" s="28"/>
      <c r="D272" s="26"/>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68"/>
      <c r="B273" s="28"/>
      <c r="C273" s="28"/>
      <c r="D273" s="26"/>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68"/>
      <c r="B274" s="28"/>
      <c r="C274" s="28"/>
      <c r="D274" s="26"/>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68"/>
      <c r="B275" s="28"/>
      <c r="C275" s="28"/>
      <c r="D275" s="26"/>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68"/>
      <c r="B276" s="28"/>
      <c r="C276" s="28"/>
      <c r="D276" s="26"/>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68"/>
      <c r="B277" s="28"/>
      <c r="C277" s="28"/>
      <c r="D277" s="26"/>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68"/>
      <c r="B278" s="28"/>
      <c r="C278" s="28"/>
      <c r="D278" s="26"/>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68"/>
      <c r="B279" s="28"/>
      <c r="C279" s="28"/>
      <c r="D279" s="26"/>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68"/>
      <c r="B280" s="28"/>
      <c r="C280" s="28"/>
      <c r="D280" s="26"/>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68"/>
      <c r="B281" s="28"/>
      <c r="C281" s="28"/>
      <c r="D281" s="26"/>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68"/>
      <c r="B282" s="28"/>
      <c r="C282" s="28"/>
      <c r="D282" s="26"/>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68"/>
      <c r="B283" s="28"/>
      <c r="C283" s="28"/>
      <c r="D283" s="26"/>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68"/>
      <c r="B284" s="28"/>
      <c r="C284" s="28"/>
      <c r="D284" s="26"/>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68"/>
      <c r="B285" s="28"/>
      <c r="C285" s="28"/>
      <c r="D285" s="26"/>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68"/>
      <c r="B286" s="28"/>
      <c r="C286" s="28"/>
      <c r="D286" s="26"/>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68"/>
      <c r="B287" s="28"/>
      <c r="C287" s="28"/>
      <c r="D287" s="26"/>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68"/>
      <c r="B288" s="28"/>
      <c r="C288" s="28"/>
      <c r="D288" s="26"/>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68"/>
      <c r="B289" s="28"/>
      <c r="C289" s="28"/>
      <c r="D289" s="26"/>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68"/>
      <c r="B290" s="28"/>
      <c r="C290" s="28"/>
      <c r="D290" s="26"/>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68"/>
      <c r="B291" s="28"/>
      <c r="C291" s="28"/>
      <c r="D291" s="26"/>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68"/>
      <c r="B292" s="28"/>
      <c r="C292" s="28"/>
      <c r="D292" s="26"/>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68"/>
      <c r="B293" s="28"/>
      <c r="C293" s="28"/>
      <c r="D293" s="26"/>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68"/>
      <c r="B294" s="28"/>
      <c r="C294" s="28"/>
      <c r="D294" s="26"/>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68"/>
      <c r="B295" s="28"/>
      <c r="C295" s="28"/>
      <c r="D295" s="26"/>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68"/>
      <c r="B296" s="28"/>
      <c r="C296" s="28"/>
      <c r="D296" s="26"/>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68"/>
      <c r="B297" s="28"/>
      <c r="C297" s="28"/>
      <c r="D297" s="26"/>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68"/>
      <c r="B298" s="28"/>
      <c r="C298" s="28"/>
      <c r="D298" s="26"/>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68"/>
      <c r="B299" s="28"/>
      <c r="C299" s="28"/>
      <c r="D299" s="26"/>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68"/>
      <c r="B300" s="28"/>
      <c r="C300" s="28"/>
      <c r="D300" s="26"/>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68"/>
      <c r="B301" s="28"/>
      <c r="C301" s="28"/>
      <c r="D301" s="26"/>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68"/>
      <c r="B302" s="28"/>
      <c r="C302" s="28"/>
      <c r="D302" s="26"/>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68"/>
      <c r="B303" s="28"/>
      <c r="C303" s="28"/>
      <c r="D303" s="26"/>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68"/>
      <c r="B304" s="28"/>
      <c r="C304" s="28"/>
      <c r="D304" s="26"/>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68"/>
      <c r="B305" s="28"/>
      <c r="C305" s="28"/>
      <c r="D305" s="26"/>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68"/>
      <c r="B306" s="28"/>
      <c r="C306" s="28"/>
      <c r="D306" s="26"/>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68"/>
      <c r="B307" s="28"/>
      <c r="C307" s="28"/>
      <c r="D307" s="26"/>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68"/>
      <c r="B308" s="28"/>
      <c r="C308" s="28"/>
      <c r="D308" s="26"/>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68"/>
      <c r="B309" s="28"/>
      <c r="C309" s="28"/>
      <c r="D309" s="26"/>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68"/>
      <c r="B310" s="28"/>
      <c r="C310" s="28"/>
      <c r="D310" s="26"/>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68"/>
      <c r="B311" s="28"/>
      <c r="C311" s="28"/>
      <c r="D311" s="26"/>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68"/>
      <c r="B312" s="28"/>
      <c r="C312" s="28"/>
      <c r="D312" s="26"/>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68"/>
      <c r="B313" s="28"/>
      <c r="C313" s="28"/>
      <c r="D313" s="26"/>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68"/>
      <c r="B314" s="28"/>
      <c r="C314" s="28"/>
      <c r="D314" s="26"/>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68"/>
      <c r="B315" s="28"/>
      <c r="C315" s="28"/>
      <c r="D315" s="26"/>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68"/>
      <c r="B316" s="28"/>
      <c r="C316" s="28"/>
      <c r="D316" s="26"/>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68"/>
      <c r="B317" s="28"/>
      <c r="C317" s="28"/>
      <c r="D317" s="26"/>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68"/>
      <c r="B318" s="28"/>
      <c r="C318" s="28"/>
      <c r="D318" s="26"/>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68"/>
      <c r="B319" s="28"/>
      <c r="C319" s="28"/>
      <c r="D319" s="26"/>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68"/>
      <c r="B320" s="28"/>
      <c r="C320" s="28"/>
      <c r="D320" s="26"/>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68"/>
      <c r="B321" s="28"/>
      <c r="C321" s="28"/>
      <c r="D321" s="26"/>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68"/>
      <c r="B322" s="28"/>
      <c r="C322" s="28"/>
      <c r="D322" s="26"/>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68"/>
      <c r="B323" s="28"/>
      <c r="C323" s="28"/>
      <c r="D323" s="26"/>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68"/>
      <c r="B324" s="28"/>
      <c r="C324" s="28"/>
      <c r="D324" s="26"/>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68"/>
      <c r="B325" s="28"/>
      <c r="C325" s="28"/>
      <c r="D325" s="26"/>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68"/>
      <c r="B326" s="28"/>
      <c r="C326" s="28"/>
      <c r="D326" s="26"/>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68"/>
      <c r="B327" s="28"/>
      <c r="C327" s="28"/>
      <c r="D327" s="26"/>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68"/>
      <c r="B328" s="28"/>
      <c r="C328" s="28"/>
      <c r="D328" s="26"/>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68"/>
      <c r="B329" s="28"/>
      <c r="C329" s="28"/>
      <c r="D329" s="26"/>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68"/>
      <c r="B330" s="28"/>
      <c r="C330" s="28"/>
      <c r="D330" s="26"/>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68"/>
      <c r="B331" s="28"/>
      <c r="C331" s="28"/>
      <c r="D331" s="26"/>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68"/>
      <c r="B332" s="28"/>
      <c r="C332" s="28"/>
      <c r="D332" s="26"/>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68"/>
      <c r="B333" s="28"/>
      <c r="C333" s="28"/>
      <c r="D333" s="26"/>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68"/>
      <c r="B334" s="28"/>
      <c r="C334" s="28"/>
      <c r="D334" s="26"/>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68"/>
      <c r="B335" s="28"/>
      <c r="C335" s="28"/>
      <c r="D335" s="26"/>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68"/>
      <c r="B336" s="28"/>
      <c r="C336" s="28"/>
      <c r="D336" s="26"/>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68"/>
      <c r="B337" s="28"/>
      <c r="C337" s="28"/>
      <c r="D337" s="26"/>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68"/>
      <c r="B338" s="28"/>
      <c r="C338" s="28"/>
      <c r="D338" s="26"/>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68"/>
      <c r="B339" s="28"/>
      <c r="C339" s="28"/>
      <c r="D339" s="26"/>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68"/>
      <c r="B340" s="28"/>
      <c r="C340" s="28"/>
      <c r="D340" s="26"/>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68"/>
      <c r="B341" s="28"/>
      <c r="C341" s="28"/>
      <c r="D341" s="26"/>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68"/>
      <c r="B342" s="28"/>
      <c r="C342" s="28"/>
      <c r="D342" s="26"/>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68"/>
      <c r="B343" s="28"/>
      <c r="C343" s="28"/>
      <c r="D343" s="26"/>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68"/>
      <c r="B344" s="28"/>
      <c r="C344" s="28"/>
      <c r="D344" s="26"/>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68"/>
      <c r="B345" s="28"/>
      <c r="C345" s="28"/>
      <c r="D345" s="26"/>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68"/>
      <c r="B346" s="28"/>
      <c r="C346" s="28"/>
      <c r="D346" s="26"/>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68"/>
      <c r="B347" s="28"/>
      <c r="C347" s="28"/>
      <c r="D347" s="26"/>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68"/>
      <c r="B348" s="28"/>
      <c r="C348" s="28"/>
      <c r="D348" s="26"/>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68"/>
      <c r="B349" s="28"/>
      <c r="C349" s="28"/>
      <c r="D349" s="26"/>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68"/>
      <c r="B350" s="28"/>
      <c r="C350" s="28"/>
      <c r="D350" s="26"/>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68"/>
      <c r="B351" s="28"/>
      <c r="C351" s="28"/>
      <c r="D351" s="26"/>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68"/>
      <c r="B352" s="28"/>
      <c r="C352" s="28"/>
      <c r="D352" s="26"/>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68"/>
      <c r="B353" s="28"/>
      <c r="C353" s="28"/>
      <c r="D353" s="26"/>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68"/>
      <c r="B354" s="28"/>
      <c r="C354" s="28"/>
      <c r="D354" s="26"/>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68"/>
      <c r="B355" s="28"/>
      <c r="C355" s="28"/>
      <c r="D355" s="26"/>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68"/>
      <c r="B356" s="28"/>
      <c r="C356" s="28"/>
      <c r="D356" s="26"/>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68"/>
      <c r="B357" s="28"/>
      <c r="C357" s="28"/>
      <c r="D357" s="26"/>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68"/>
      <c r="B358" s="28"/>
      <c r="C358" s="28"/>
      <c r="D358" s="26"/>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68"/>
      <c r="B359" s="28"/>
      <c r="C359" s="28"/>
      <c r="D359" s="26"/>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68"/>
      <c r="B360" s="28"/>
      <c r="C360" s="28"/>
      <c r="D360" s="26"/>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68"/>
      <c r="B361" s="28"/>
      <c r="C361" s="28"/>
      <c r="D361" s="26"/>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68"/>
      <c r="B362" s="28"/>
      <c r="C362" s="28"/>
      <c r="D362" s="26"/>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68"/>
      <c r="B363" s="28"/>
      <c r="C363" s="28"/>
      <c r="D363" s="26"/>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68"/>
      <c r="B364" s="28"/>
      <c r="C364" s="28"/>
      <c r="D364" s="26"/>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68"/>
      <c r="B365" s="28"/>
      <c r="C365" s="28"/>
      <c r="D365" s="26"/>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68"/>
      <c r="B366" s="28"/>
      <c r="C366" s="28"/>
      <c r="D366" s="26"/>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68"/>
      <c r="B367" s="28"/>
      <c r="C367" s="28"/>
      <c r="D367" s="26"/>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68"/>
      <c r="B368" s="28"/>
      <c r="C368" s="28"/>
      <c r="D368" s="26"/>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68"/>
      <c r="B369" s="28"/>
      <c r="C369" s="28"/>
      <c r="D369" s="26"/>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68"/>
      <c r="B370" s="28"/>
      <c r="C370" s="28"/>
      <c r="D370" s="26"/>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68"/>
      <c r="B371" s="28"/>
      <c r="C371" s="28"/>
      <c r="D371" s="26"/>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68"/>
      <c r="B372" s="28"/>
      <c r="C372" s="28"/>
      <c r="D372" s="26"/>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68"/>
      <c r="B373" s="28"/>
      <c r="C373" s="28"/>
      <c r="D373" s="26"/>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68"/>
      <c r="B374" s="28"/>
      <c r="C374" s="28"/>
      <c r="D374" s="26"/>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68"/>
      <c r="B375" s="28"/>
      <c r="C375" s="28"/>
      <c r="D375" s="26"/>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68"/>
      <c r="B376" s="28"/>
      <c r="C376" s="28"/>
      <c r="D376" s="26"/>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68"/>
      <c r="B377" s="28"/>
      <c r="C377" s="28"/>
      <c r="D377" s="26"/>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68"/>
      <c r="B378" s="28"/>
      <c r="C378" s="28"/>
      <c r="D378" s="26"/>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68"/>
      <c r="B379" s="28"/>
      <c r="C379" s="28"/>
      <c r="D379" s="26"/>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68"/>
      <c r="B380" s="28"/>
      <c r="C380" s="28"/>
      <c r="D380" s="26"/>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68"/>
      <c r="B381" s="28"/>
      <c r="C381" s="28"/>
      <c r="D381" s="26"/>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68"/>
      <c r="B382" s="28"/>
      <c r="C382" s="28"/>
      <c r="D382" s="26"/>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68"/>
      <c r="B383" s="28"/>
      <c r="C383" s="28"/>
      <c r="D383" s="26"/>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68"/>
      <c r="B384" s="28"/>
      <c r="C384" s="28"/>
      <c r="D384" s="26"/>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68"/>
      <c r="B385" s="28"/>
      <c r="C385" s="28"/>
      <c r="D385" s="26"/>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68"/>
      <c r="B386" s="28"/>
      <c r="C386" s="28"/>
      <c r="D386" s="26"/>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68"/>
      <c r="B387" s="28"/>
      <c r="C387" s="28"/>
      <c r="D387" s="26"/>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68"/>
      <c r="B388" s="28"/>
      <c r="C388" s="28"/>
      <c r="D388" s="26"/>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68"/>
      <c r="B389" s="28"/>
      <c r="C389" s="28"/>
      <c r="D389" s="26"/>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68"/>
      <c r="B390" s="28"/>
      <c r="C390" s="28"/>
      <c r="D390" s="26"/>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68"/>
      <c r="B391" s="28"/>
      <c r="C391" s="28"/>
      <c r="D391" s="26"/>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68"/>
      <c r="B392" s="28"/>
      <c r="C392" s="28"/>
      <c r="D392" s="26"/>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68"/>
      <c r="B393" s="28"/>
      <c r="C393" s="28"/>
      <c r="D393" s="26"/>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68"/>
      <c r="B394" s="28"/>
      <c r="C394" s="28"/>
      <c r="D394" s="26"/>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68"/>
      <c r="B395" s="28"/>
      <c r="C395" s="28"/>
      <c r="D395" s="26"/>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68"/>
      <c r="B396" s="28"/>
      <c r="C396" s="28"/>
      <c r="D396" s="26"/>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68"/>
      <c r="B397" s="28"/>
      <c r="C397" s="28"/>
      <c r="D397" s="26"/>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68"/>
      <c r="B398" s="28"/>
      <c r="C398" s="28"/>
      <c r="D398" s="26"/>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68"/>
      <c r="B399" s="28"/>
      <c r="C399" s="28"/>
      <c r="D399" s="26"/>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68"/>
      <c r="B400" s="28"/>
      <c r="C400" s="28"/>
      <c r="D400" s="26"/>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68"/>
      <c r="B401" s="28"/>
      <c r="C401" s="28"/>
      <c r="D401" s="26"/>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68"/>
      <c r="B402" s="28"/>
      <c r="C402" s="28"/>
      <c r="D402" s="26"/>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68"/>
      <c r="B403" s="28"/>
      <c r="C403" s="28"/>
      <c r="D403" s="26"/>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68"/>
      <c r="B404" s="28"/>
      <c r="C404" s="28"/>
      <c r="D404" s="26"/>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68"/>
      <c r="B405" s="28"/>
      <c r="C405" s="28"/>
      <c r="D405" s="26"/>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68"/>
      <c r="B406" s="28"/>
      <c r="C406" s="28"/>
      <c r="D406" s="26"/>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68"/>
      <c r="B407" s="28"/>
      <c r="C407" s="28"/>
      <c r="D407" s="26"/>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68"/>
      <c r="B408" s="28"/>
      <c r="C408" s="28"/>
      <c r="D408" s="26"/>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68"/>
      <c r="B409" s="28"/>
      <c r="C409" s="28"/>
      <c r="D409" s="26"/>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68"/>
      <c r="B410" s="28"/>
      <c r="C410" s="28"/>
      <c r="D410" s="26"/>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68"/>
      <c r="B411" s="28"/>
      <c r="C411" s="28"/>
      <c r="D411" s="26"/>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68"/>
      <c r="B412" s="28"/>
      <c r="C412" s="28"/>
      <c r="D412" s="26"/>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68"/>
      <c r="B413" s="28"/>
      <c r="C413" s="28"/>
      <c r="D413" s="26"/>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68"/>
      <c r="B414" s="28"/>
      <c r="C414" s="28"/>
      <c r="D414" s="26"/>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68"/>
      <c r="B415" s="28"/>
      <c r="C415" s="28"/>
      <c r="D415" s="26"/>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68"/>
      <c r="B416" s="28"/>
      <c r="C416" s="28"/>
      <c r="D416" s="26"/>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68"/>
      <c r="B417" s="28"/>
      <c r="C417" s="28"/>
      <c r="D417" s="26"/>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68"/>
      <c r="B418" s="28"/>
      <c r="C418" s="28"/>
      <c r="D418" s="26"/>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68"/>
      <c r="B419" s="28"/>
      <c r="C419" s="28"/>
      <c r="D419" s="26"/>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68"/>
      <c r="B420" s="28"/>
      <c r="C420" s="28"/>
      <c r="D420" s="26"/>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68"/>
      <c r="B421" s="28"/>
      <c r="C421" s="28"/>
      <c r="D421" s="26"/>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68"/>
      <c r="B422" s="28"/>
      <c r="C422" s="28"/>
      <c r="D422" s="26"/>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68"/>
      <c r="B423" s="28"/>
      <c r="C423" s="28"/>
      <c r="D423" s="26"/>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68"/>
      <c r="B424" s="28"/>
      <c r="C424" s="28"/>
      <c r="D424" s="26"/>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68"/>
      <c r="B425" s="28"/>
      <c r="C425" s="28"/>
      <c r="D425" s="26"/>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68"/>
      <c r="B426" s="28"/>
      <c r="C426" s="28"/>
      <c r="D426" s="26"/>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68"/>
      <c r="B427" s="28"/>
      <c r="C427" s="28"/>
      <c r="D427" s="26"/>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68"/>
      <c r="B428" s="28"/>
      <c r="C428" s="28"/>
      <c r="D428" s="26"/>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68"/>
      <c r="B429" s="28"/>
      <c r="C429" s="28"/>
      <c r="D429" s="26"/>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68"/>
      <c r="B430" s="28"/>
      <c r="C430" s="28"/>
      <c r="D430" s="26"/>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68"/>
      <c r="B431" s="28"/>
      <c r="C431" s="28"/>
      <c r="D431" s="26"/>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68"/>
      <c r="B432" s="28"/>
      <c r="C432" s="28"/>
      <c r="D432" s="26"/>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68"/>
      <c r="B433" s="28"/>
      <c r="C433" s="28"/>
      <c r="D433" s="26"/>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68"/>
      <c r="B434" s="28"/>
      <c r="C434" s="28"/>
      <c r="D434" s="26"/>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68"/>
      <c r="B435" s="28"/>
      <c r="C435" s="28"/>
      <c r="D435" s="26"/>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68"/>
      <c r="B436" s="28"/>
      <c r="C436" s="28"/>
      <c r="D436" s="26"/>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68"/>
      <c r="B437" s="28"/>
      <c r="C437" s="28"/>
      <c r="D437" s="26"/>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68"/>
      <c r="B438" s="28"/>
      <c r="C438" s="28"/>
      <c r="D438" s="26"/>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68"/>
      <c r="B439" s="28"/>
      <c r="C439" s="28"/>
      <c r="D439" s="26"/>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68"/>
      <c r="B440" s="28"/>
      <c r="C440" s="28"/>
      <c r="D440" s="26"/>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68"/>
      <c r="B441" s="28"/>
      <c r="C441" s="28"/>
      <c r="D441" s="26"/>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68"/>
      <c r="B442" s="28"/>
      <c r="C442" s="28"/>
      <c r="D442" s="26"/>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68"/>
      <c r="B443" s="28"/>
      <c r="C443" s="28"/>
      <c r="D443" s="26"/>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68"/>
      <c r="B444" s="28"/>
      <c r="C444" s="28"/>
      <c r="D444" s="26"/>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68"/>
      <c r="B445" s="28"/>
      <c r="C445" s="28"/>
      <c r="D445" s="26"/>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68"/>
      <c r="B446" s="28"/>
      <c r="C446" s="28"/>
      <c r="D446" s="26"/>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68"/>
      <c r="B447" s="28"/>
      <c r="C447" s="28"/>
      <c r="D447" s="26"/>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68"/>
      <c r="B448" s="28"/>
      <c r="C448" s="28"/>
      <c r="D448" s="26"/>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68"/>
      <c r="B449" s="28"/>
      <c r="C449" s="28"/>
      <c r="D449" s="26"/>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68"/>
      <c r="B450" s="28"/>
      <c r="C450" s="28"/>
      <c r="D450" s="26"/>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68"/>
      <c r="B451" s="28"/>
      <c r="C451" s="28"/>
      <c r="D451" s="26"/>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68"/>
      <c r="B452" s="28"/>
      <c r="C452" s="28"/>
      <c r="D452" s="26"/>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68"/>
      <c r="B453" s="28"/>
      <c r="C453" s="28"/>
      <c r="D453" s="26"/>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68"/>
      <c r="B454" s="28"/>
      <c r="C454" s="28"/>
      <c r="D454" s="26"/>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68"/>
      <c r="B455" s="28"/>
      <c r="C455" s="28"/>
      <c r="D455" s="26"/>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68"/>
      <c r="B456" s="28"/>
      <c r="C456" s="28"/>
      <c r="D456" s="26"/>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68"/>
      <c r="B457" s="28"/>
      <c r="C457" s="28"/>
      <c r="D457" s="26"/>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68"/>
      <c r="B458" s="28"/>
      <c r="C458" s="28"/>
      <c r="D458" s="26"/>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68"/>
      <c r="B459" s="28"/>
      <c r="C459" s="28"/>
      <c r="D459" s="26"/>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68"/>
      <c r="B460" s="28"/>
      <c r="C460" s="28"/>
      <c r="D460" s="26"/>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68"/>
      <c r="B461" s="28"/>
      <c r="C461" s="28"/>
      <c r="D461" s="26"/>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68"/>
      <c r="B462" s="28"/>
      <c r="C462" s="28"/>
      <c r="D462" s="26"/>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68"/>
      <c r="B463" s="28"/>
      <c r="C463" s="28"/>
      <c r="D463" s="26"/>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68"/>
      <c r="B464" s="28"/>
      <c r="C464" s="28"/>
      <c r="D464" s="26"/>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68"/>
      <c r="B465" s="28"/>
      <c r="C465" s="28"/>
      <c r="D465" s="26"/>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68"/>
      <c r="B466" s="28"/>
      <c r="C466" s="28"/>
      <c r="D466" s="26"/>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68"/>
      <c r="B467" s="28"/>
      <c r="C467" s="28"/>
      <c r="D467" s="26"/>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68"/>
      <c r="B468" s="28"/>
      <c r="C468" s="28"/>
      <c r="D468" s="26"/>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68"/>
      <c r="B469" s="28"/>
      <c r="C469" s="28"/>
      <c r="D469" s="26"/>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68"/>
      <c r="B470" s="28"/>
      <c r="C470" s="28"/>
      <c r="D470" s="26"/>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68"/>
      <c r="B471" s="28"/>
      <c r="C471" s="28"/>
      <c r="D471" s="26"/>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68"/>
      <c r="B472" s="28"/>
      <c r="C472" s="28"/>
      <c r="D472" s="26"/>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68"/>
      <c r="B473" s="28"/>
      <c r="C473" s="28"/>
      <c r="D473" s="26"/>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68"/>
      <c r="B474" s="28"/>
      <c r="C474" s="28"/>
      <c r="D474" s="26"/>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68"/>
      <c r="B475" s="28"/>
      <c r="C475" s="28"/>
      <c r="D475" s="26"/>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68"/>
      <c r="B476" s="28"/>
      <c r="C476" s="28"/>
      <c r="D476" s="26"/>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68"/>
      <c r="B477" s="28"/>
      <c r="C477" s="28"/>
      <c r="D477" s="26"/>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68"/>
      <c r="B478" s="28"/>
      <c r="C478" s="28"/>
      <c r="D478" s="26"/>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68"/>
      <c r="B479" s="28"/>
      <c r="C479" s="28"/>
      <c r="D479" s="26"/>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68"/>
      <c r="B480" s="28"/>
      <c r="C480" s="28"/>
      <c r="D480" s="26"/>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68"/>
      <c r="B481" s="28"/>
      <c r="C481" s="28"/>
      <c r="D481" s="26"/>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68"/>
      <c r="B482" s="28"/>
      <c r="C482" s="28"/>
      <c r="D482" s="26"/>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68"/>
      <c r="B483" s="28"/>
      <c r="C483" s="28"/>
      <c r="D483" s="26"/>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68"/>
      <c r="B484" s="28"/>
      <c r="C484" s="28"/>
      <c r="D484" s="26"/>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68"/>
      <c r="B485" s="28"/>
      <c r="C485" s="28"/>
      <c r="D485" s="26"/>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68"/>
      <c r="B486" s="28"/>
      <c r="C486" s="28"/>
      <c r="D486" s="26"/>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68"/>
      <c r="B487" s="28"/>
      <c r="C487" s="28"/>
      <c r="D487" s="26"/>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68"/>
      <c r="B488" s="28"/>
      <c r="C488" s="28"/>
      <c r="D488" s="26"/>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68"/>
      <c r="B489" s="28"/>
      <c r="C489" s="28"/>
      <c r="D489" s="26"/>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68"/>
      <c r="B490" s="28"/>
      <c r="C490" s="28"/>
      <c r="D490" s="26"/>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68"/>
      <c r="B491" s="28"/>
      <c r="C491" s="28"/>
      <c r="D491" s="26"/>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68"/>
      <c r="B492" s="28"/>
      <c r="C492" s="28"/>
      <c r="D492" s="26"/>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68"/>
      <c r="B493" s="28"/>
      <c r="C493" s="28"/>
      <c r="D493" s="26"/>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68"/>
      <c r="B494" s="28"/>
      <c r="C494" s="28"/>
      <c r="D494" s="26"/>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68"/>
      <c r="B495" s="28"/>
      <c r="C495" s="28"/>
      <c r="D495" s="26"/>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68"/>
      <c r="B496" s="28"/>
      <c r="C496" s="28"/>
      <c r="D496" s="26"/>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68"/>
      <c r="B497" s="28"/>
      <c r="C497" s="28"/>
      <c r="D497" s="26"/>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68"/>
      <c r="B498" s="28"/>
      <c r="C498" s="28"/>
      <c r="D498" s="26"/>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68"/>
      <c r="B499" s="28"/>
      <c r="C499" s="28"/>
      <c r="D499" s="26"/>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68"/>
      <c r="B500" s="28"/>
      <c r="C500" s="28"/>
      <c r="D500" s="26"/>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68"/>
      <c r="B501" s="28"/>
      <c r="C501" s="28"/>
      <c r="D501" s="26"/>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68"/>
      <c r="B502" s="28"/>
      <c r="C502" s="28"/>
      <c r="D502" s="26"/>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68"/>
      <c r="B503" s="28"/>
      <c r="C503" s="28"/>
      <c r="D503" s="26"/>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68"/>
      <c r="B504" s="28"/>
      <c r="C504" s="28"/>
      <c r="D504" s="26"/>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68"/>
      <c r="B505" s="28"/>
      <c r="C505" s="28"/>
      <c r="D505" s="26"/>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68"/>
      <c r="B506" s="28"/>
      <c r="C506" s="28"/>
      <c r="D506" s="26"/>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68"/>
      <c r="B507" s="28"/>
      <c r="C507" s="28"/>
      <c r="D507" s="26"/>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68"/>
      <c r="B508" s="28"/>
      <c r="C508" s="28"/>
      <c r="D508" s="26"/>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68"/>
      <c r="B509" s="28"/>
      <c r="C509" s="28"/>
      <c r="D509" s="26"/>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68"/>
      <c r="B510" s="28"/>
      <c r="C510" s="28"/>
      <c r="D510" s="26"/>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68"/>
      <c r="B511" s="28"/>
      <c r="C511" s="28"/>
      <c r="D511" s="26"/>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68"/>
      <c r="B512" s="28"/>
      <c r="C512" s="28"/>
      <c r="D512" s="26"/>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68"/>
      <c r="B513" s="28"/>
      <c r="C513" s="28"/>
      <c r="D513" s="26"/>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68"/>
      <c r="B514" s="28"/>
      <c r="C514" s="28"/>
      <c r="D514" s="26"/>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68"/>
      <c r="B515" s="28"/>
      <c r="C515" s="28"/>
      <c r="D515" s="26"/>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68"/>
      <c r="B516" s="28"/>
      <c r="C516" s="28"/>
      <c r="D516" s="26"/>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68"/>
      <c r="B517" s="28"/>
      <c r="C517" s="28"/>
      <c r="D517" s="26"/>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68"/>
      <c r="B518" s="28"/>
      <c r="C518" s="28"/>
      <c r="D518" s="26"/>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68"/>
      <c r="B519" s="28"/>
      <c r="C519" s="28"/>
      <c r="D519" s="26"/>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68"/>
      <c r="B520" s="28"/>
      <c r="C520" s="28"/>
      <c r="D520" s="26"/>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68"/>
      <c r="B521" s="28"/>
      <c r="C521" s="28"/>
      <c r="D521" s="26"/>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68"/>
      <c r="B522" s="28"/>
      <c r="C522" s="28"/>
      <c r="D522" s="26"/>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68"/>
      <c r="B523" s="28"/>
      <c r="C523" s="28"/>
      <c r="D523" s="26"/>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68"/>
      <c r="B524" s="28"/>
      <c r="C524" s="28"/>
      <c r="D524" s="26"/>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68"/>
      <c r="B525" s="28"/>
      <c r="C525" s="28"/>
      <c r="D525" s="26"/>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68"/>
      <c r="B526" s="28"/>
      <c r="C526" s="28"/>
      <c r="D526" s="26"/>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68"/>
      <c r="B527" s="28"/>
      <c r="C527" s="28"/>
      <c r="D527" s="26"/>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68"/>
      <c r="B528" s="28"/>
      <c r="C528" s="28"/>
      <c r="D528" s="26"/>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68"/>
      <c r="B529" s="28"/>
      <c r="C529" s="28"/>
      <c r="D529" s="26"/>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68"/>
      <c r="B530" s="28"/>
      <c r="C530" s="28"/>
      <c r="D530" s="26"/>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68"/>
      <c r="B531" s="28"/>
      <c r="C531" s="28"/>
      <c r="D531" s="26"/>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68"/>
      <c r="B532" s="28"/>
      <c r="C532" s="28"/>
      <c r="D532" s="26"/>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68"/>
      <c r="B533" s="28"/>
      <c r="C533" s="28"/>
      <c r="D533" s="26"/>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68"/>
      <c r="B534" s="28"/>
      <c r="C534" s="28"/>
      <c r="D534" s="26"/>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68"/>
      <c r="B535" s="28"/>
      <c r="C535" s="28"/>
      <c r="D535" s="26"/>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68"/>
      <c r="B536" s="28"/>
      <c r="C536" s="28"/>
      <c r="D536" s="26"/>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68"/>
      <c r="B537" s="28"/>
      <c r="C537" s="28"/>
      <c r="D537" s="26"/>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68"/>
      <c r="B538" s="28"/>
      <c r="C538" s="28"/>
      <c r="D538" s="26"/>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68"/>
      <c r="B539" s="28"/>
      <c r="C539" s="28"/>
      <c r="D539" s="26"/>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68"/>
      <c r="B540" s="28"/>
      <c r="C540" s="28"/>
      <c r="D540" s="26"/>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68"/>
      <c r="B541" s="28"/>
      <c r="C541" s="28"/>
      <c r="D541" s="26"/>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68"/>
      <c r="B542" s="28"/>
      <c r="C542" s="28"/>
      <c r="D542" s="26"/>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68"/>
      <c r="B543" s="28"/>
      <c r="C543" s="28"/>
      <c r="D543" s="26"/>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68"/>
      <c r="B544" s="28"/>
      <c r="C544" s="28"/>
      <c r="D544" s="26"/>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68"/>
      <c r="B545" s="28"/>
      <c r="C545" s="28"/>
      <c r="D545" s="26"/>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68"/>
      <c r="B546" s="28"/>
      <c r="C546" s="28"/>
      <c r="D546" s="26"/>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68"/>
      <c r="B547" s="28"/>
      <c r="C547" s="28"/>
      <c r="D547" s="26"/>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68"/>
      <c r="B548" s="28"/>
      <c r="C548" s="28"/>
      <c r="D548" s="26"/>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68"/>
      <c r="B549" s="28"/>
      <c r="C549" s="28"/>
      <c r="D549" s="26"/>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68"/>
      <c r="B550" s="28"/>
      <c r="C550" s="28"/>
      <c r="D550" s="26"/>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68"/>
      <c r="B551" s="28"/>
      <c r="C551" s="28"/>
      <c r="D551" s="26"/>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68"/>
      <c r="B552" s="28"/>
      <c r="C552" s="28"/>
      <c r="D552" s="26"/>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68"/>
      <c r="B553" s="28"/>
      <c r="C553" s="28"/>
      <c r="D553" s="26"/>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68"/>
      <c r="B554" s="28"/>
      <c r="C554" s="28"/>
      <c r="D554" s="26"/>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68"/>
      <c r="B555" s="28"/>
      <c r="C555" s="28"/>
      <c r="D555" s="26"/>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68"/>
      <c r="B556" s="28"/>
      <c r="C556" s="28"/>
      <c r="D556" s="26"/>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68"/>
      <c r="B557" s="28"/>
      <c r="C557" s="28"/>
      <c r="D557" s="26"/>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68"/>
      <c r="B558" s="28"/>
      <c r="C558" s="28"/>
      <c r="D558" s="26"/>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68"/>
      <c r="B559" s="28"/>
      <c r="C559" s="28"/>
      <c r="D559" s="26"/>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68"/>
      <c r="B560" s="28"/>
      <c r="C560" s="28"/>
      <c r="D560" s="26"/>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68"/>
      <c r="B561" s="28"/>
      <c r="C561" s="28"/>
      <c r="D561" s="26"/>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68"/>
      <c r="B562" s="28"/>
      <c r="C562" s="28"/>
      <c r="D562" s="26"/>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68"/>
      <c r="B563" s="28"/>
      <c r="C563" s="28"/>
      <c r="D563" s="26"/>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68"/>
      <c r="B564" s="28"/>
      <c r="C564" s="28"/>
      <c r="D564" s="26"/>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68"/>
      <c r="B565" s="28"/>
      <c r="C565" s="28"/>
      <c r="D565" s="26"/>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68"/>
      <c r="B566" s="28"/>
      <c r="C566" s="28"/>
      <c r="D566" s="26"/>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68"/>
      <c r="B567" s="28"/>
      <c r="C567" s="28"/>
      <c r="D567" s="26"/>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68"/>
      <c r="B568" s="28"/>
      <c r="C568" s="28"/>
      <c r="D568" s="26"/>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68"/>
      <c r="B569" s="28"/>
      <c r="C569" s="28"/>
      <c r="D569" s="26"/>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68"/>
      <c r="B570" s="28"/>
      <c r="C570" s="28"/>
      <c r="D570" s="26"/>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68"/>
      <c r="B571" s="28"/>
      <c r="C571" s="28"/>
      <c r="D571" s="26"/>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68"/>
      <c r="B572" s="28"/>
      <c r="C572" s="28"/>
      <c r="D572" s="26"/>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68"/>
      <c r="B573" s="28"/>
      <c r="C573" s="28"/>
      <c r="D573" s="26"/>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68"/>
      <c r="B574" s="28"/>
      <c r="C574" s="28"/>
      <c r="D574" s="26"/>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68"/>
      <c r="B575" s="28"/>
      <c r="C575" s="28"/>
      <c r="D575" s="26"/>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68"/>
      <c r="B576" s="28"/>
      <c r="C576" s="28"/>
      <c r="D576" s="26"/>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68"/>
      <c r="B577" s="28"/>
      <c r="C577" s="28"/>
      <c r="D577" s="26"/>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68"/>
      <c r="B578" s="28"/>
      <c r="C578" s="28"/>
      <c r="D578" s="26"/>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68"/>
      <c r="B579" s="28"/>
      <c r="C579" s="28"/>
      <c r="D579" s="26"/>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68"/>
      <c r="B580" s="28"/>
      <c r="C580" s="28"/>
      <c r="D580" s="26"/>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68"/>
      <c r="B581" s="28"/>
      <c r="C581" s="28"/>
      <c r="D581" s="26"/>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68"/>
      <c r="B582" s="28"/>
      <c r="C582" s="28"/>
      <c r="D582" s="26"/>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68"/>
      <c r="B583" s="28"/>
      <c r="C583" s="28"/>
      <c r="D583" s="26"/>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68"/>
      <c r="B584" s="28"/>
      <c r="C584" s="28"/>
      <c r="D584" s="26"/>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68"/>
      <c r="B585" s="28"/>
      <c r="C585" s="28"/>
      <c r="D585" s="26"/>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68"/>
      <c r="B586" s="28"/>
      <c r="C586" s="28"/>
      <c r="D586" s="26"/>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68"/>
      <c r="B587" s="28"/>
      <c r="C587" s="28"/>
      <c r="D587" s="26"/>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68"/>
      <c r="B588" s="28"/>
      <c r="C588" s="28"/>
      <c r="D588" s="26"/>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68"/>
      <c r="B589" s="28"/>
      <c r="C589" s="28"/>
      <c r="D589" s="26"/>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68"/>
      <c r="B590" s="28"/>
      <c r="C590" s="28"/>
      <c r="D590" s="26"/>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68"/>
      <c r="B591" s="28"/>
      <c r="C591" s="28"/>
      <c r="D591" s="26"/>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68"/>
      <c r="B592" s="28"/>
      <c r="C592" s="28"/>
      <c r="D592" s="26"/>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68"/>
      <c r="B593" s="28"/>
      <c r="C593" s="28"/>
      <c r="D593" s="26"/>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68"/>
      <c r="B594" s="28"/>
      <c r="C594" s="28"/>
      <c r="D594" s="26"/>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68"/>
      <c r="B595" s="28"/>
      <c r="C595" s="28"/>
      <c r="D595" s="26"/>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68"/>
      <c r="B596" s="28"/>
      <c r="C596" s="28"/>
      <c r="D596" s="26"/>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68"/>
      <c r="B597" s="28"/>
      <c r="C597" s="28"/>
      <c r="D597" s="26"/>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68"/>
      <c r="B598" s="28"/>
      <c r="C598" s="28"/>
      <c r="D598" s="26"/>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68"/>
      <c r="B599" s="28"/>
      <c r="C599" s="28"/>
      <c r="D599" s="26"/>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68"/>
      <c r="B600" s="28"/>
      <c r="C600" s="28"/>
      <c r="D600" s="26"/>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68"/>
      <c r="B601" s="28"/>
      <c r="C601" s="28"/>
      <c r="D601" s="26"/>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68"/>
      <c r="B602" s="28"/>
      <c r="C602" s="28"/>
      <c r="D602" s="26"/>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68"/>
      <c r="B603" s="28"/>
      <c r="C603" s="28"/>
      <c r="D603" s="26"/>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68"/>
      <c r="B604" s="28"/>
      <c r="C604" s="28"/>
      <c r="D604" s="26"/>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68"/>
      <c r="B605" s="28"/>
      <c r="C605" s="28"/>
      <c r="D605" s="26"/>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68"/>
      <c r="B606" s="28"/>
      <c r="C606" s="28"/>
      <c r="D606" s="26"/>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68"/>
      <c r="B607" s="28"/>
      <c r="C607" s="28"/>
      <c r="D607" s="26"/>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68"/>
      <c r="B608" s="28"/>
      <c r="C608" s="28"/>
      <c r="D608" s="26"/>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68"/>
      <c r="B609" s="28"/>
      <c r="C609" s="28"/>
      <c r="D609" s="26"/>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68"/>
      <c r="B610" s="28"/>
      <c r="C610" s="28"/>
      <c r="D610" s="26"/>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68"/>
      <c r="B611" s="28"/>
      <c r="C611" s="28"/>
      <c r="D611" s="26"/>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68"/>
      <c r="B612" s="28"/>
      <c r="C612" s="28"/>
      <c r="D612" s="26"/>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68"/>
      <c r="B613" s="28"/>
      <c r="C613" s="28"/>
      <c r="D613" s="26"/>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68"/>
      <c r="B614" s="28"/>
      <c r="C614" s="28"/>
      <c r="D614" s="26"/>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68"/>
      <c r="B615" s="28"/>
      <c r="C615" s="28"/>
      <c r="D615" s="26"/>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68"/>
      <c r="B616" s="28"/>
      <c r="C616" s="28"/>
      <c r="D616" s="26"/>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68"/>
      <c r="B617" s="28"/>
      <c r="C617" s="28"/>
      <c r="D617" s="26"/>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68"/>
      <c r="B618" s="28"/>
      <c r="C618" s="28"/>
      <c r="D618" s="26"/>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68"/>
      <c r="B619" s="28"/>
      <c r="C619" s="28"/>
      <c r="D619" s="26"/>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68"/>
      <c r="B620" s="28"/>
      <c r="C620" s="28"/>
      <c r="D620" s="26"/>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68"/>
      <c r="B621" s="28"/>
      <c r="C621" s="28"/>
      <c r="D621" s="26"/>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68"/>
      <c r="B622" s="28"/>
      <c r="C622" s="28"/>
      <c r="D622" s="26"/>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68"/>
      <c r="B623" s="28"/>
      <c r="C623" s="28"/>
      <c r="D623" s="26"/>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68"/>
      <c r="B624" s="28"/>
      <c r="C624" s="28"/>
      <c r="D624" s="26"/>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68"/>
      <c r="B625" s="28"/>
      <c r="C625" s="28"/>
      <c r="D625" s="26"/>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68"/>
      <c r="B626" s="28"/>
      <c r="C626" s="28"/>
      <c r="D626" s="26"/>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68"/>
      <c r="B627" s="28"/>
      <c r="C627" s="28"/>
      <c r="D627" s="26"/>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68"/>
      <c r="B628" s="28"/>
      <c r="C628" s="28"/>
      <c r="D628" s="26"/>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68"/>
      <c r="B629" s="28"/>
      <c r="C629" s="28"/>
      <c r="D629" s="26"/>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68"/>
      <c r="B630" s="28"/>
      <c r="C630" s="28"/>
      <c r="D630" s="26"/>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68"/>
      <c r="B631" s="28"/>
      <c r="C631" s="28"/>
      <c r="D631" s="26"/>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68"/>
      <c r="B632" s="28"/>
      <c r="C632" s="28"/>
      <c r="D632" s="26"/>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68"/>
      <c r="B633" s="28"/>
      <c r="C633" s="28"/>
      <c r="D633" s="26"/>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68"/>
      <c r="B634" s="28"/>
      <c r="C634" s="28"/>
      <c r="D634" s="26"/>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68"/>
      <c r="B635" s="28"/>
      <c r="C635" s="28"/>
      <c r="D635" s="26"/>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68"/>
      <c r="B636" s="28"/>
      <c r="C636" s="28"/>
      <c r="D636" s="26"/>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68"/>
      <c r="B637" s="28"/>
      <c r="C637" s="28"/>
      <c r="D637" s="26"/>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68"/>
      <c r="B638" s="28"/>
      <c r="C638" s="28"/>
      <c r="D638" s="26"/>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68"/>
      <c r="B639" s="28"/>
      <c r="C639" s="28"/>
      <c r="D639" s="26"/>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68"/>
      <c r="B640" s="28"/>
      <c r="C640" s="28"/>
      <c r="D640" s="26"/>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68"/>
      <c r="B641" s="28"/>
      <c r="C641" s="28"/>
      <c r="D641" s="26"/>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68"/>
      <c r="B642" s="28"/>
      <c r="C642" s="28"/>
      <c r="D642" s="26"/>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68"/>
      <c r="B643" s="28"/>
      <c r="C643" s="28"/>
      <c r="D643" s="26"/>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68"/>
      <c r="B644" s="28"/>
      <c r="C644" s="28"/>
      <c r="D644" s="26"/>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68"/>
      <c r="B645" s="28"/>
      <c r="C645" s="28"/>
      <c r="D645" s="26"/>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68"/>
      <c r="B646" s="28"/>
      <c r="C646" s="28"/>
      <c r="D646" s="26"/>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68"/>
      <c r="B647" s="28"/>
      <c r="C647" s="28"/>
      <c r="D647" s="26"/>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68"/>
      <c r="B648" s="28"/>
      <c r="C648" s="28"/>
      <c r="D648" s="26"/>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68"/>
      <c r="B649" s="28"/>
      <c r="C649" s="28"/>
      <c r="D649" s="26"/>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68"/>
      <c r="B650" s="28"/>
      <c r="C650" s="28"/>
      <c r="D650" s="26"/>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68"/>
      <c r="B651" s="28"/>
      <c r="C651" s="28"/>
      <c r="D651" s="26"/>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68"/>
      <c r="B652" s="28"/>
      <c r="C652" s="28"/>
      <c r="D652" s="26"/>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68"/>
      <c r="B653" s="28"/>
      <c r="C653" s="28"/>
      <c r="D653" s="26"/>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68"/>
      <c r="B654" s="28"/>
      <c r="C654" s="28"/>
      <c r="D654" s="26"/>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68"/>
      <c r="B655" s="28"/>
      <c r="C655" s="28"/>
      <c r="D655" s="26"/>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68"/>
      <c r="B656" s="28"/>
      <c r="C656" s="28"/>
      <c r="D656" s="26"/>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68"/>
      <c r="B657" s="28"/>
      <c r="C657" s="28"/>
      <c r="D657" s="26"/>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68"/>
      <c r="B658" s="28"/>
      <c r="C658" s="28"/>
      <c r="D658" s="26"/>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68"/>
      <c r="B659" s="28"/>
      <c r="C659" s="28"/>
      <c r="D659" s="26"/>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68"/>
      <c r="B660" s="28"/>
      <c r="C660" s="28"/>
      <c r="D660" s="26"/>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68"/>
      <c r="B661" s="28"/>
      <c r="C661" s="28"/>
      <c r="D661" s="26"/>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68"/>
      <c r="B662" s="28"/>
      <c r="C662" s="28"/>
      <c r="D662" s="26"/>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68"/>
      <c r="B663" s="28"/>
      <c r="C663" s="28"/>
      <c r="D663" s="26"/>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68"/>
      <c r="B664" s="28"/>
      <c r="C664" s="28"/>
      <c r="D664" s="26"/>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68"/>
      <c r="B665" s="28"/>
      <c r="C665" s="28"/>
      <c r="D665" s="26"/>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68"/>
      <c r="B666" s="28"/>
      <c r="C666" s="28"/>
      <c r="D666" s="26"/>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68"/>
      <c r="B667" s="28"/>
      <c r="C667" s="28"/>
      <c r="D667" s="26"/>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68"/>
      <c r="B668" s="28"/>
      <c r="C668" s="28"/>
      <c r="D668" s="26"/>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68"/>
      <c r="B669" s="28"/>
      <c r="C669" s="28"/>
      <c r="D669" s="26"/>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68"/>
      <c r="B670" s="28"/>
      <c r="C670" s="28"/>
      <c r="D670" s="26"/>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68"/>
      <c r="B671" s="28"/>
      <c r="C671" s="28"/>
      <c r="D671" s="26"/>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68"/>
      <c r="B672" s="28"/>
      <c r="C672" s="28"/>
      <c r="D672" s="26"/>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68"/>
      <c r="B673" s="28"/>
      <c r="C673" s="28"/>
      <c r="D673" s="26"/>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68"/>
      <c r="B674" s="28"/>
      <c r="C674" s="28"/>
      <c r="D674" s="26"/>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68"/>
      <c r="B675" s="28"/>
      <c r="C675" s="28"/>
      <c r="D675" s="26"/>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68"/>
      <c r="B676" s="28"/>
      <c r="C676" s="28"/>
      <c r="D676" s="26"/>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68"/>
      <c r="B677" s="28"/>
      <c r="C677" s="28"/>
      <c r="D677" s="26"/>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68"/>
      <c r="B678" s="28"/>
      <c r="C678" s="28"/>
      <c r="D678" s="26"/>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68"/>
      <c r="B679" s="28"/>
      <c r="C679" s="28"/>
      <c r="D679" s="26"/>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68"/>
      <c r="B680" s="28"/>
      <c r="C680" s="28"/>
      <c r="D680" s="26"/>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68"/>
      <c r="B681" s="28"/>
      <c r="C681" s="28"/>
      <c r="D681" s="26"/>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68"/>
      <c r="B682" s="28"/>
      <c r="C682" s="28"/>
      <c r="D682" s="26"/>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68"/>
      <c r="B683" s="28"/>
      <c r="C683" s="28"/>
      <c r="D683" s="26"/>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68"/>
      <c r="B684" s="28"/>
      <c r="C684" s="28"/>
      <c r="D684" s="26"/>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68"/>
      <c r="B685" s="28"/>
      <c r="C685" s="28"/>
      <c r="D685" s="26"/>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68"/>
      <c r="B686" s="28"/>
      <c r="C686" s="28"/>
      <c r="D686" s="26"/>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68"/>
      <c r="B687" s="28"/>
      <c r="C687" s="28"/>
      <c r="D687" s="26"/>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68"/>
      <c r="B688" s="28"/>
      <c r="C688" s="28"/>
      <c r="D688" s="26"/>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68"/>
      <c r="B689" s="28"/>
      <c r="C689" s="28"/>
      <c r="D689" s="26"/>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68"/>
      <c r="B690" s="28"/>
      <c r="C690" s="28"/>
      <c r="D690" s="26"/>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68"/>
      <c r="B691" s="28"/>
      <c r="C691" s="28"/>
      <c r="D691" s="26"/>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68"/>
      <c r="B692" s="28"/>
      <c r="C692" s="28"/>
      <c r="D692" s="26"/>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68"/>
      <c r="B693" s="28"/>
      <c r="C693" s="28"/>
      <c r="D693" s="26"/>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68"/>
      <c r="B694" s="28"/>
      <c r="C694" s="28"/>
      <c r="D694" s="26"/>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68"/>
      <c r="B695" s="28"/>
      <c r="C695" s="28"/>
      <c r="D695" s="26"/>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68"/>
      <c r="B696" s="28"/>
      <c r="C696" s="28"/>
      <c r="D696" s="26"/>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68"/>
      <c r="B697" s="28"/>
      <c r="C697" s="28"/>
      <c r="D697" s="26"/>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68"/>
      <c r="B698" s="28"/>
      <c r="C698" s="28"/>
      <c r="D698" s="26"/>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68"/>
      <c r="B699" s="28"/>
      <c r="C699" s="28"/>
      <c r="D699" s="26"/>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68"/>
      <c r="B700" s="28"/>
      <c r="C700" s="28"/>
      <c r="D700" s="26"/>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68"/>
      <c r="B701" s="28"/>
      <c r="C701" s="28"/>
      <c r="D701" s="26"/>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68"/>
      <c r="B702" s="28"/>
      <c r="C702" s="28"/>
      <c r="D702" s="26"/>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68"/>
      <c r="B703" s="28"/>
      <c r="C703" s="28"/>
      <c r="D703" s="26"/>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68"/>
      <c r="B704" s="28"/>
      <c r="C704" s="28"/>
      <c r="D704" s="26"/>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68"/>
      <c r="B705" s="28"/>
      <c r="C705" s="28"/>
      <c r="D705" s="26"/>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68"/>
      <c r="B706" s="28"/>
      <c r="C706" s="28"/>
      <c r="D706" s="26"/>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68"/>
      <c r="B707" s="28"/>
      <c r="C707" s="28"/>
      <c r="D707" s="26"/>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68"/>
      <c r="B708" s="28"/>
      <c r="C708" s="28"/>
      <c r="D708" s="26"/>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68"/>
      <c r="B709" s="28"/>
      <c r="C709" s="28"/>
      <c r="D709" s="26"/>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68"/>
      <c r="B710" s="28"/>
      <c r="C710" s="28"/>
      <c r="D710" s="26"/>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68"/>
      <c r="B711" s="28"/>
      <c r="C711" s="28"/>
      <c r="D711" s="26"/>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68"/>
      <c r="B712" s="28"/>
      <c r="C712" s="28"/>
      <c r="D712" s="26"/>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68"/>
      <c r="B713" s="28"/>
      <c r="C713" s="28"/>
      <c r="D713" s="26"/>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68"/>
      <c r="B714" s="28"/>
      <c r="C714" s="28"/>
      <c r="D714" s="26"/>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68"/>
      <c r="B715" s="28"/>
      <c r="C715" s="28"/>
      <c r="D715" s="26"/>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68"/>
      <c r="B716" s="28"/>
      <c r="C716" s="28"/>
      <c r="D716" s="26"/>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68"/>
      <c r="B717" s="28"/>
      <c r="C717" s="28"/>
      <c r="D717" s="26"/>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68"/>
      <c r="B718" s="28"/>
      <c r="C718" s="28"/>
      <c r="D718" s="26"/>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68"/>
      <c r="B719" s="28"/>
      <c r="C719" s="28"/>
      <c r="D719" s="26"/>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68"/>
      <c r="B720" s="28"/>
      <c r="C720" s="28"/>
      <c r="D720" s="26"/>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68"/>
      <c r="B721" s="28"/>
      <c r="C721" s="28"/>
      <c r="D721" s="26"/>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68"/>
      <c r="B722" s="28"/>
      <c r="C722" s="28"/>
      <c r="D722" s="26"/>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68"/>
      <c r="B723" s="28"/>
      <c r="C723" s="28"/>
      <c r="D723" s="26"/>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68"/>
      <c r="B724" s="28"/>
      <c r="C724" s="28"/>
      <c r="D724" s="26"/>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68"/>
      <c r="B725" s="28"/>
      <c r="C725" s="28"/>
      <c r="D725" s="26"/>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68"/>
      <c r="B726" s="28"/>
      <c r="C726" s="28"/>
      <c r="D726" s="26"/>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68"/>
      <c r="B727" s="28"/>
      <c r="C727" s="28"/>
      <c r="D727" s="26"/>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68"/>
      <c r="B728" s="28"/>
      <c r="C728" s="28"/>
      <c r="D728" s="26"/>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68"/>
      <c r="B729" s="28"/>
      <c r="C729" s="28"/>
      <c r="D729" s="26"/>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68"/>
      <c r="B730" s="28"/>
      <c r="C730" s="28"/>
      <c r="D730" s="26"/>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68"/>
      <c r="B731" s="28"/>
      <c r="C731" s="28"/>
      <c r="D731" s="26"/>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68"/>
      <c r="B732" s="28"/>
      <c r="C732" s="28"/>
      <c r="D732" s="26"/>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68"/>
      <c r="B733" s="28"/>
      <c r="C733" s="28"/>
      <c r="D733" s="26"/>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68"/>
      <c r="B734" s="28"/>
      <c r="C734" s="28"/>
      <c r="D734" s="26"/>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68"/>
      <c r="B735" s="28"/>
      <c r="C735" s="28"/>
      <c r="D735" s="26"/>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68"/>
      <c r="B736" s="28"/>
      <c r="C736" s="28"/>
      <c r="D736" s="26"/>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68"/>
      <c r="B737" s="28"/>
      <c r="C737" s="28"/>
      <c r="D737" s="26"/>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68"/>
      <c r="B738" s="28"/>
      <c r="C738" s="28"/>
      <c r="D738" s="26"/>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68"/>
      <c r="B739" s="28"/>
      <c r="C739" s="28"/>
      <c r="D739" s="26"/>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68"/>
      <c r="B740" s="28"/>
      <c r="C740" s="28"/>
      <c r="D740" s="26"/>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68"/>
      <c r="B741" s="28"/>
      <c r="C741" s="28"/>
      <c r="D741" s="26"/>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68"/>
      <c r="B742" s="28"/>
      <c r="C742" s="28"/>
      <c r="D742" s="26"/>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68"/>
      <c r="B743" s="28"/>
      <c r="C743" s="28"/>
      <c r="D743" s="26"/>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68"/>
      <c r="B744" s="28"/>
      <c r="C744" s="28"/>
      <c r="D744" s="26"/>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68"/>
      <c r="B745" s="28"/>
      <c r="C745" s="28"/>
      <c r="D745" s="26"/>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68"/>
      <c r="B746" s="28"/>
      <c r="C746" s="28"/>
      <c r="D746" s="26"/>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68"/>
      <c r="B747" s="28"/>
      <c r="C747" s="28"/>
      <c r="D747" s="26"/>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68"/>
      <c r="B748" s="28"/>
      <c r="C748" s="28"/>
      <c r="D748" s="26"/>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68"/>
      <c r="B749" s="28"/>
      <c r="C749" s="28"/>
      <c r="D749" s="26"/>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68"/>
      <c r="B750" s="28"/>
      <c r="C750" s="28"/>
      <c r="D750" s="26"/>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68"/>
      <c r="B751" s="28"/>
      <c r="C751" s="28"/>
      <c r="D751" s="26"/>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68"/>
      <c r="B752" s="28"/>
      <c r="C752" s="28"/>
      <c r="D752" s="26"/>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68"/>
      <c r="B753" s="28"/>
      <c r="C753" s="28"/>
      <c r="D753" s="26"/>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68"/>
      <c r="B754" s="28"/>
      <c r="C754" s="28"/>
      <c r="D754" s="26"/>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68"/>
      <c r="B755" s="28"/>
      <c r="C755" s="28"/>
      <c r="D755" s="26"/>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68"/>
      <c r="B756" s="28"/>
      <c r="C756" s="28"/>
      <c r="D756" s="26"/>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68"/>
      <c r="B757" s="28"/>
      <c r="C757" s="28"/>
      <c r="D757" s="26"/>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68"/>
      <c r="B758" s="28"/>
      <c r="C758" s="28"/>
      <c r="D758" s="26"/>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68"/>
      <c r="B759" s="28"/>
      <c r="C759" s="28"/>
      <c r="D759" s="26"/>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68"/>
      <c r="B760" s="28"/>
      <c r="C760" s="28"/>
      <c r="D760" s="26"/>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68"/>
      <c r="B761" s="28"/>
      <c r="C761" s="28"/>
      <c r="D761" s="26"/>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68"/>
      <c r="B762" s="28"/>
      <c r="C762" s="28"/>
      <c r="D762" s="26"/>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68"/>
      <c r="B763" s="28"/>
      <c r="C763" s="28"/>
      <c r="D763" s="26"/>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68"/>
      <c r="B764" s="28"/>
      <c r="C764" s="28"/>
      <c r="D764" s="26"/>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68"/>
      <c r="B765" s="28"/>
      <c r="C765" s="28"/>
      <c r="D765" s="26"/>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68"/>
      <c r="B766" s="28"/>
      <c r="C766" s="28"/>
      <c r="D766" s="26"/>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68"/>
      <c r="B767" s="28"/>
      <c r="C767" s="28"/>
      <c r="D767" s="26"/>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68"/>
      <c r="B768" s="28"/>
      <c r="C768" s="28"/>
      <c r="D768" s="26"/>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68"/>
      <c r="B769" s="28"/>
      <c r="C769" s="28"/>
      <c r="D769" s="26"/>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68"/>
      <c r="B770" s="28"/>
      <c r="C770" s="28"/>
      <c r="D770" s="26"/>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68"/>
      <c r="B771" s="28"/>
      <c r="C771" s="28"/>
      <c r="D771" s="26"/>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68"/>
      <c r="B772" s="28"/>
      <c r="C772" s="28"/>
      <c r="D772" s="26"/>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68"/>
      <c r="B773" s="28"/>
      <c r="C773" s="28"/>
      <c r="D773" s="26"/>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68"/>
      <c r="B774" s="28"/>
      <c r="C774" s="28"/>
      <c r="D774" s="26"/>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68"/>
      <c r="B775" s="28"/>
      <c r="C775" s="28"/>
      <c r="D775" s="26"/>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68"/>
      <c r="B776" s="28"/>
      <c r="C776" s="28"/>
      <c r="D776" s="26"/>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68"/>
      <c r="B777" s="28"/>
      <c r="C777" s="28"/>
      <c r="D777" s="26"/>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68"/>
      <c r="B778" s="28"/>
      <c r="C778" s="28"/>
      <c r="D778" s="26"/>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68"/>
      <c r="B779" s="28"/>
      <c r="C779" s="28"/>
      <c r="D779" s="26"/>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68"/>
      <c r="B780" s="28"/>
      <c r="C780" s="28"/>
      <c r="D780" s="26"/>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68"/>
      <c r="B781" s="28"/>
      <c r="C781" s="28"/>
      <c r="D781" s="26"/>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68"/>
      <c r="B782" s="28"/>
      <c r="C782" s="28"/>
      <c r="D782" s="26"/>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68"/>
      <c r="B783" s="28"/>
      <c r="C783" s="28"/>
      <c r="D783" s="26"/>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68"/>
      <c r="B784" s="28"/>
      <c r="C784" s="28"/>
      <c r="D784" s="26"/>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68"/>
      <c r="B785" s="28"/>
      <c r="C785" s="28"/>
      <c r="D785" s="26"/>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68"/>
      <c r="B786" s="28"/>
      <c r="C786" s="28"/>
      <c r="D786" s="26"/>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68"/>
      <c r="B787" s="28"/>
      <c r="C787" s="28"/>
      <c r="D787" s="26"/>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68"/>
      <c r="B788" s="28"/>
      <c r="C788" s="28"/>
      <c r="D788" s="26"/>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68"/>
      <c r="B789" s="28"/>
      <c r="C789" s="28"/>
      <c r="D789" s="26"/>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68"/>
      <c r="B790" s="28"/>
      <c r="C790" s="28"/>
      <c r="D790" s="26"/>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68"/>
      <c r="B791" s="28"/>
      <c r="C791" s="28"/>
      <c r="D791" s="26"/>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68"/>
      <c r="B792" s="28"/>
      <c r="C792" s="28"/>
      <c r="D792" s="26"/>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68"/>
      <c r="B793" s="28"/>
      <c r="C793" s="28"/>
      <c r="D793" s="26"/>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68"/>
      <c r="B794" s="28"/>
      <c r="C794" s="28"/>
      <c r="D794" s="26"/>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68"/>
      <c r="B795" s="28"/>
      <c r="C795" s="28"/>
      <c r="D795" s="26"/>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68"/>
      <c r="B796" s="28"/>
      <c r="C796" s="28"/>
      <c r="D796" s="26"/>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68"/>
      <c r="B797" s="28"/>
      <c r="C797" s="28"/>
      <c r="D797" s="26"/>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68"/>
      <c r="B798" s="28"/>
      <c r="C798" s="28"/>
      <c r="D798" s="26"/>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68"/>
      <c r="B799" s="28"/>
      <c r="C799" s="28"/>
      <c r="D799" s="26"/>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68"/>
      <c r="B800" s="28"/>
      <c r="C800" s="28"/>
      <c r="D800" s="26"/>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68"/>
      <c r="B801" s="28"/>
      <c r="C801" s="28"/>
      <c r="D801" s="26"/>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68"/>
      <c r="B802" s="28"/>
      <c r="C802" s="28"/>
      <c r="D802" s="26"/>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68"/>
      <c r="B803" s="28"/>
      <c r="C803" s="28"/>
      <c r="D803" s="26"/>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68"/>
      <c r="B804" s="28"/>
      <c r="C804" s="28"/>
      <c r="D804" s="26"/>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68"/>
      <c r="B805" s="28"/>
      <c r="C805" s="28"/>
      <c r="D805" s="26"/>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68"/>
      <c r="B806" s="28"/>
      <c r="C806" s="28"/>
      <c r="D806" s="26"/>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68"/>
      <c r="B807" s="28"/>
      <c r="C807" s="28"/>
      <c r="D807" s="26"/>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68"/>
      <c r="B808" s="28"/>
      <c r="C808" s="28"/>
      <c r="D808" s="26"/>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68"/>
      <c r="B809" s="28"/>
      <c r="C809" s="28"/>
      <c r="D809" s="26"/>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68"/>
      <c r="B810" s="28"/>
      <c r="C810" s="28"/>
      <c r="D810" s="26"/>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68"/>
      <c r="B811" s="28"/>
      <c r="C811" s="28"/>
      <c r="D811" s="26"/>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68"/>
      <c r="B812" s="28"/>
      <c r="C812" s="28"/>
      <c r="D812" s="26"/>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68"/>
      <c r="B813" s="28"/>
      <c r="C813" s="28"/>
      <c r="D813" s="26"/>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68"/>
      <c r="B814" s="28"/>
      <c r="C814" s="28"/>
      <c r="D814" s="26"/>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68"/>
      <c r="B815" s="28"/>
      <c r="C815" s="28"/>
      <c r="D815" s="26"/>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68"/>
      <c r="B816" s="28"/>
      <c r="C816" s="28"/>
      <c r="D816" s="26"/>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68"/>
      <c r="B817" s="28"/>
      <c r="C817" s="28"/>
      <c r="D817" s="26"/>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68"/>
      <c r="B818" s="28"/>
      <c r="C818" s="28"/>
      <c r="D818" s="26"/>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68"/>
      <c r="B819" s="28"/>
      <c r="C819" s="28"/>
      <c r="D819" s="26"/>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68"/>
      <c r="B820" s="28"/>
      <c r="C820" s="28"/>
      <c r="D820" s="26"/>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68"/>
      <c r="B821" s="28"/>
      <c r="C821" s="28"/>
      <c r="D821" s="26"/>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68"/>
      <c r="B822" s="28"/>
      <c r="C822" s="28"/>
      <c r="D822" s="26"/>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68"/>
      <c r="B823" s="28"/>
      <c r="C823" s="28"/>
      <c r="D823" s="26"/>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68"/>
      <c r="B824" s="28"/>
      <c r="C824" s="28"/>
      <c r="D824" s="26"/>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68"/>
      <c r="B825" s="28"/>
      <c r="C825" s="28"/>
      <c r="D825" s="26"/>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68"/>
      <c r="B826" s="28"/>
      <c r="C826" s="28"/>
      <c r="D826" s="26"/>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68"/>
      <c r="B827" s="28"/>
      <c r="C827" s="28"/>
      <c r="D827" s="26"/>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68"/>
      <c r="B828" s="28"/>
      <c r="C828" s="28"/>
      <c r="D828" s="26"/>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68"/>
      <c r="B829" s="28"/>
      <c r="C829" s="28"/>
      <c r="D829" s="26"/>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68"/>
      <c r="B830" s="28"/>
      <c r="C830" s="28"/>
      <c r="D830" s="26"/>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68"/>
      <c r="B831" s="28"/>
      <c r="C831" s="28"/>
      <c r="D831" s="26"/>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68"/>
      <c r="B832" s="28"/>
      <c r="C832" s="28"/>
      <c r="D832" s="26"/>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68"/>
      <c r="B833" s="28"/>
      <c r="C833" s="28"/>
      <c r="D833" s="26"/>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68"/>
      <c r="B834" s="28"/>
      <c r="C834" s="28"/>
      <c r="D834" s="26"/>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68"/>
      <c r="B835" s="28"/>
      <c r="C835" s="28"/>
      <c r="D835" s="26"/>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68"/>
      <c r="B836" s="28"/>
      <c r="C836" s="28"/>
      <c r="D836" s="26"/>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68"/>
      <c r="B837" s="28"/>
      <c r="C837" s="28"/>
      <c r="D837" s="26"/>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68"/>
      <c r="B838" s="28"/>
      <c r="C838" s="28"/>
      <c r="D838" s="26"/>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68"/>
      <c r="B839" s="28"/>
      <c r="C839" s="28"/>
      <c r="D839" s="26"/>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68"/>
      <c r="B840" s="28"/>
      <c r="C840" s="28"/>
      <c r="D840" s="26"/>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68"/>
      <c r="B841" s="28"/>
      <c r="C841" s="28"/>
      <c r="D841" s="26"/>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68"/>
      <c r="B842" s="28"/>
      <c r="C842" s="28"/>
      <c r="D842" s="26"/>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68"/>
      <c r="B843" s="28"/>
      <c r="C843" s="28"/>
      <c r="D843" s="26"/>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68"/>
      <c r="B844" s="28"/>
      <c r="C844" s="28"/>
      <c r="D844" s="26"/>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68"/>
      <c r="B845" s="28"/>
      <c r="C845" s="28"/>
      <c r="D845" s="26"/>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68"/>
      <c r="B846" s="28"/>
      <c r="C846" s="28"/>
      <c r="D846" s="26"/>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68"/>
      <c r="B847" s="28"/>
      <c r="C847" s="28"/>
      <c r="D847" s="26"/>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68"/>
      <c r="B848" s="28"/>
      <c r="C848" s="28"/>
      <c r="D848" s="26"/>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68"/>
      <c r="B849" s="28"/>
      <c r="C849" s="28"/>
      <c r="D849" s="26"/>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68"/>
      <c r="B850" s="28"/>
      <c r="C850" s="28"/>
      <c r="D850" s="26"/>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68"/>
      <c r="B851" s="28"/>
      <c r="C851" s="28"/>
      <c r="D851" s="26"/>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68"/>
      <c r="B852" s="28"/>
      <c r="C852" s="28"/>
      <c r="D852" s="26"/>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68"/>
      <c r="B853" s="28"/>
      <c r="C853" s="28"/>
      <c r="D853" s="26"/>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68"/>
      <c r="B854" s="28"/>
      <c r="C854" s="28"/>
      <c r="D854" s="26"/>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68"/>
      <c r="B855" s="28"/>
      <c r="C855" s="28"/>
      <c r="D855" s="26"/>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68"/>
      <c r="B856" s="28"/>
      <c r="C856" s="28"/>
      <c r="D856" s="26"/>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68"/>
      <c r="B857" s="28"/>
      <c r="C857" s="28"/>
      <c r="D857" s="26"/>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68"/>
      <c r="B858" s="28"/>
      <c r="C858" s="28"/>
      <c r="D858" s="26"/>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68"/>
      <c r="B859" s="28"/>
      <c r="C859" s="28"/>
      <c r="D859" s="26"/>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68"/>
      <c r="B860" s="28"/>
      <c r="C860" s="28"/>
      <c r="D860" s="26"/>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68"/>
      <c r="B861" s="28"/>
      <c r="C861" s="28"/>
      <c r="D861" s="26"/>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68"/>
      <c r="B862" s="28"/>
      <c r="C862" s="28"/>
      <c r="D862" s="26"/>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68"/>
      <c r="B863" s="28"/>
      <c r="C863" s="28"/>
      <c r="D863" s="26"/>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68"/>
      <c r="B864" s="28"/>
      <c r="C864" s="28"/>
      <c r="D864" s="26"/>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68"/>
      <c r="B865" s="28"/>
      <c r="C865" s="28"/>
      <c r="D865" s="26"/>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68"/>
      <c r="B866" s="28"/>
      <c r="C866" s="28"/>
      <c r="D866" s="26"/>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68"/>
      <c r="B867" s="28"/>
      <c r="C867" s="28"/>
      <c r="D867" s="26"/>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68"/>
      <c r="B868" s="28"/>
      <c r="C868" s="28"/>
      <c r="D868" s="26"/>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68"/>
      <c r="B869" s="28"/>
      <c r="C869" s="28"/>
      <c r="D869" s="26"/>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68"/>
      <c r="B870" s="28"/>
      <c r="C870" s="28"/>
      <c r="D870" s="26"/>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68"/>
      <c r="B871" s="28"/>
      <c r="C871" s="28"/>
      <c r="D871" s="26"/>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68"/>
      <c r="B872" s="28"/>
      <c r="C872" s="28"/>
      <c r="D872" s="26"/>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68"/>
      <c r="B873" s="28"/>
      <c r="C873" s="28"/>
      <c r="D873" s="26"/>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68"/>
      <c r="B874" s="28"/>
      <c r="C874" s="28"/>
      <c r="D874" s="26"/>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68"/>
      <c r="B875" s="28"/>
      <c r="C875" s="28"/>
      <c r="D875" s="26"/>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68"/>
      <c r="B876" s="28"/>
      <c r="C876" s="28"/>
      <c r="D876" s="26"/>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68"/>
      <c r="B877" s="28"/>
      <c r="C877" s="28"/>
      <c r="D877" s="26"/>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68"/>
      <c r="B878" s="28"/>
      <c r="C878" s="28"/>
      <c r="D878" s="26"/>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68"/>
      <c r="B879" s="28"/>
      <c r="C879" s="28"/>
      <c r="D879" s="26"/>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68"/>
      <c r="B880" s="28"/>
      <c r="C880" s="28"/>
      <c r="D880" s="26"/>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68"/>
      <c r="B881" s="28"/>
      <c r="C881" s="28"/>
      <c r="D881" s="26"/>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68"/>
      <c r="B882" s="28"/>
      <c r="C882" s="28"/>
      <c r="D882" s="26"/>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68"/>
      <c r="B883" s="28"/>
      <c r="C883" s="28"/>
      <c r="D883" s="26"/>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68"/>
      <c r="B884" s="28"/>
      <c r="C884" s="28"/>
      <c r="D884" s="26"/>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68"/>
      <c r="B885" s="28"/>
      <c r="C885" s="28"/>
      <c r="D885" s="26"/>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68"/>
      <c r="B886" s="28"/>
      <c r="C886" s="28"/>
      <c r="D886" s="26"/>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68"/>
      <c r="B887" s="28"/>
      <c r="C887" s="28"/>
      <c r="D887" s="26"/>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68"/>
      <c r="B888" s="28"/>
      <c r="C888" s="28"/>
      <c r="D888" s="26"/>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68"/>
      <c r="B889" s="28"/>
      <c r="C889" s="28"/>
      <c r="D889" s="26"/>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68"/>
      <c r="B890" s="28"/>
      <c r="C890" s="28"/>
      <c r="D890" s="26"/>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68"/>
      <c r="B891" s="28"/>
      <c r="C891" s="28"/>
      <c r="D891" s="26"/>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68"/>
      <c r="B892" s="28"/>
      <c r="C892" s="28"/>
      <c r="D892" s="26"/>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68"/>
      <c r="B893" s="28"/>
      <c r="C893" s="28"/>
      <c r="D893" s="26"/>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68"/>
      <c r="B894" s="28"/>
      <c r="C894" s="28"/>
      <c r="D894" s="26"/>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68"/>
      <c r="B895" s="28"/>
      <c r="C895" s="28"/>
      <c r="D895" s="26"/>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68"/>
      <c r="B896" s="28"/>
      <c r="C896" s="28"/>
      <c r="D896" s="26"/>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68"/>
      <c r="B897" s="28"/>
      <c r="C897" s="28"/>
      <c r="D897" s="26"/>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68"/>
      <c r="B898" s="28"/>
      <c r="C898" s="28"/>
      <c r="D898" s="26"/>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68"/>
      <c r="B899" s="28"/>
      <c r="C899" s="28"/>
      <c r="D899" s="26"/>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68"/>
      <c r="B900" s="28"/>
      <c r="C900" s="28"/>
      <c r="D900" s="26"/>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68"/>
      <c r="B901" s="28"/>
      <c r="C901" s="28"/>
      <c r="D901" s="26"/>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68"/>
      <c r="B902" s="28"/>
      <c r="C902" s="28"/>
      <c r="D902" s="26"/>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68"/>
      <c r="B903" s="28"/>
      <c r="C903" s="28"/>
      <c r="D903" s="26"/>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68"/>
      <c r="B904" s="28"/>
      <c r="C904" s="28"/>
      <c r="D904" s="26"/>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68"/>
      <c r="B905" s="28"/>
      <c r="C905" s="28"/>
      <c r="D905" s="26"/>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68"/>
      <c r="B906" s="28"/>
      <c r="C906" s="28"/>
      <c r="D906" s="26"/>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68"/>
      <c r="B907" s="28"/>
      <c r="C907" s="28"/>
      <c r="D907" s="26"/>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68"/>
      <c r="B908" s="28"/>
      <c r="C908" s="28"/>
      <c r="D908" s="26"/>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68"/>
      <c r="B909" s="28"/>
      <c r="C909" s="28"/>
      <c r="D909" s="26"/>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68"/>
      <c r="B910" s="28"/>
      <c r="C910" s="28"/>
      <c r="D910" s="26"/>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68"/>
      <c r="B911" s="28"/>
      <c r="C911" s="28"/>
      <c r="D911" s="26"/>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68"/>
      <c r="B912" s="28"/>
      <c r="C912" s="28"/>
      <c r="D912" s="26"/>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68"/>
      <c r="B913" s="28"/>
      <c r="C913" s="28"/>
      <c r="D913" s="26"/>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68"/>
      <c r="B914" s="28"/>
      <c r="C914" s="28"/>
      <c r="D914" s="26"/>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68"/>
      <c r="B915" s="28"/>
      <c r="C915" s="28"/>
      <c r="D915" s="26"/>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68"/>
      <c r="B916" s="28"/>
      <c r="C916" s="28"/>
      <c r="D916" s="26"/>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68"/>
      <c r="B917" s="28"/>
      <c r="C917" s="28"/>
      <c r="D917" s="26"/>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68"/>
      <c r="B918" s="28"/>
      <c r="C918" s="28"/>
      <c r="D918" s="26"/>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68"/>
      <c r="B919" s="28"/>
      <c r="C919" s="28"/>
      <c r="D919" s="26"/>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68"/>
      <c r="B920" s="28"/>
      <c r="C920" s="28"/>
      <c r="D920" s="26"/>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68"/>
      <c r="B921" s="28"/>
      <c r="C921" s="28"/>
      <c r="D921" s="26"/>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68"/>
      <c r="B922" s="28"/>
      <c r="C922" s="28"/>
      <c r="D922" s="26"/>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68"/>
      <c r="B923" s="28"/>
      <c r="C923" s="28"/>
      <c r="D923" s="26"/>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68"/>
      <c r="B924" s="28"/>
      <c r="C924" s="28"/>
      <c r="D924" s="26"/>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68"/>
      <c r="B925" s="28"/>
      <c r="C925" s="28"/>
      <c r="D925" s="26"/>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68"/>
      <c r="B926" s="28"/>
      <c r="C926" s="28"/>
      <c r="D926" s="26"/>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68"/>
      <c r="B927" s="28"/>
      <c r="C927" s="28"/>
      <c r="D927" s="26"/>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68"/>
      <c r="B928" s="28"/>
      <c r="C928" s="28"/>
      <c r="D928" s="26"/>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68"/>
      <c r="B929" s="28"/>
      <c r="C929" s="28"/>
      <c r="D929" s="26"/>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68"/>
      <c r="B930" s="28"/>
      <c r="C930" s="28"/>
      <c r="D930" s="26"/>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68"/>
      <c r="B931" s="28"/>
      <c r="C931" s="28"/>
      <c r="D931" s="26"/>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68"/>
      <c r="B932" s="28"/>
      <c r="C932" s="28"/>
      <c r="D932" s="26"/>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68"/>
      <c r="B933" s="28"/>
      <c r="C933" s="28"/>
      <c r="D933" s="26"/>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68"/>
      <c r="B934" s="28"/>
      <c r="C934" s="28"/>
      <c r="D934" s="26"/>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68"/>
      <c r="B935" s="28"/>
      <c r="C935" s="28"/>
      <c r="D935" s="26"/>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68"/>
      <c r="B936" s="28"/>
      <c r="C936" s="28"/>
      <c r="D936" s="26"/>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68"/>
      <c r="B937" s="28"/>
      <c r="C937" s="28"/>
      <c r="D937" s="26"/>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68"/>
      <c r="B938" s="28"/>
      <c r="C938" s="28"/>
      <c r="D938" s="26"/>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68"/>
      <c r="B939" s="28"/>
      <c r="C939" s="28"/>
      <c r="D939" s="26"/>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68"/>
      <c r="B940" s="28"/>
      <c r="C940" s="28"/>
      <c r="D940" s="26"/>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68"/>
      <c r="B941" s="28"/>
      <c r="C941" s="28"/>
      <c r="D941" s="26"/>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68"/>
      <c r="B942" s="28"/>
      <c r="C942" s="28"/>
      <c r="D942" s="26"/>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68"/>
      <c r="B943" s="28"/>
      <c r="C943" s="28"/>
      <c r="D943" s="26"/>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68"/>
      <c r="B944" s="28"/>
      <c r="C944" s="28"/>
      <c r="D944" s="26"/>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68"/>
      <c r="B945" s="28"/>
      <c r="C945" s="28"/>
      <c r="D945" s="26"/>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68"/>
      <c r="B946" s="28"/>
      <c r="C946" s="28"/>
      <c r="D946" s="26"/>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68"/>
      <c r="B947" s="28"/>
      <c r="C947" s="28"/>
      <c r="D947" s="26"/>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68"/>
      <c r="B948" s="28"/>
      <c r="C948" s="28"/>
      <c r="D948" s="26"/>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68"/>
      <c r="B949" s="28"/>
      <c r="C949" s="28"/>
      <c r="D949" s="26"/>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68"/>
      <c r="B950" s="28"/>
      <c r="C950" s="28"/>
      <c r="D950" s="26"/>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68"/>
      <c r="B951" s="28"/>
      <c r="C951" s="28"/>
      <c r="D951" s="26"/>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68"/>
      <c r="B952" s="28"/>
      <c r="C952" s="28"/>
      <c r="D952" s="26"/>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68"/>
      <c r="B953" s="28"/>
      <c r="C953" s="28"/>
      <c r="D953" s="26"/>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68"/>
      <c r="B954" s="28"/>
      <c r="C954" s="28"/>
      <c r="D954" s="26"/>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68"/>
      <c r="B955" s="28"/>
      <c r="C955" s="28"/>
      <c r="D955" s="26"/>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68"/>
      <c r="B956" s="28"/>
      <c r="C956" s="28"/>
      <c r="D956" s="26"/>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68"/>
      <c r="B957" s="28"/>
      <c r="C957" s="28"/>
      <c r="D957" s="26"/>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68"/>
      <c r="B958" s="28"/>
      <c r="C958" s="28"/>
      <c r="D958" s="26"/>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68"/>
      <c r="B959" s="28"/>
      <c r="C959" s="28"/>
      <c r="D959" s="26"/>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68"/>
      <c r="B960" s="28"/>
      <c r="C960" s="28"/>
      <c r="D960" s="26"/>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68"/>
      <c r="B961" s="28"/>
      <c r="C961" s="28"/>
      <c r="D961" s="26"/>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68"/>
      <c r="B962" s="28"/>
      <c r="C962" s="28"/>
      <c r="D962" s="26"/>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68"/>
      <c r="B963" s="28"/>
      <c r="C963" s="28"/>
      <c r="D963" s="26"/>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68"/>
      <c r="B964" s="28"/>
      <c r="C964" s="28"/>
      <c r="D964" s="26"/>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68"/>
      <c r="B965" s="28"/>
      <c r="C965" s="28"/>
      <c r="D965" s="26"/>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68"/>
      <c r="B966" s="28"/>
      <c r="C966" s="28"/>
      <c r="D966" s="26"/>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68"/>
      <c r="B967" s="28"/>
      <c r="C967" s="28"/>
      <c r="D967" s="26"/>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68"/>
      <c r="B968" s="28"/>
      <c r="C968" s="28"/>
      <c r="D968" s="26"/>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68"/>
      <c r="B969" s="28"/>
      <c r="C969" s="28"/>
      <c r="D969" s="26"/>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68"/>
      <c r="B970" s="28"/>
      <c r="C970" s="28"/>
      <c r="D970" s="26"/>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68"/>
      <c r="B971" s="28"/>
      <c r="C971" s="28"/>
      <c r="D971" s="26"/>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68"/>
      <c r="B972" s="28"/>
      <c r="C972" s="28"/>
      <c r="D972" s="26"/>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68"/>
      <c r="B973" s="28"/>
      <c r="C973" s="28"/>
      <c r="D973" s="26"/>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68"/>
      <c r="B974" s="28"/>
      <c r="C974" s="28"/>
      <c r="D974" s="26"/>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68"/>
      <c r="B975" s="28"/>
      <c r="C975" s="28"/>
      <c r="D975" s="26"/>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68"/>
      <c r="B976" s="28"/>
      <c r="C976" s="28"/>
      <c r="D976" s="26"/>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68"/>
      <c r="B977" s="28"/>
      <c r="C977" s="28"/>
      <c r="D977" s="26"/>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68"/>
      <c r="B978" s="28"/>
      <c r="C978" s="28"/>
      <c r="D978" s="26"/>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68"/>
      <c r="B979" s="28"/>
      <c r="C979" s="28"/>
      <c r="D979" s="26"/>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68"/>
      <c r="B980" s="28"/>
      <c r="C980" s="28"/>
      <c r="D980" s="26"/>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68"/>
      <c r="B981" s="28"/>
      <c r="C981" s="28"/>
      <c r="D981" s="26"/>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68"/>
      <c r="B982" s="28"/>
      <c r="C982" s="28"/>
      <c r="D982" s="26"/>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68"/>
      <c r="B983" s="28"/>
      <c r="C983" s="28"/>
      <c r="D983" s="26"/>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68"/>
      <c r="B984" s="28"/>
      <c r="C984" s="28"/>
      <c r="D984" s="26"/>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68"/>
      <c r="B985" s="28"/>
      <c r="C985" s="28"/>
      <c r="D985" s="26"/>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68"/>
      <c r="B986" s="28"/>
      <c r="C986" s="28"/>
      <c r="D986" s="26"/>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68"/>
      <c r="B987" s="28"/>
      <c r="C987" s="28"/>
      <c r="D987" s="26"/>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68"/>
      <c r="B988" s="28"/>
      <c r="C988" s="28"/>
      <c r="D988" s="26"/>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68"/>
      <c r="B989" s="28"/>
      <c r="C989" s="28"/>
      <c r="D989" s="26"/>
      <c r="E989" s="28"/>
      <c r="F989" s="28"/>
      <c r="G989" s="28"/>
      <c r="H989" s="28"/>
      <c r="I989" s="28"/>
      <c r="J989" s="28"/>
      <c r="K989" s="28"/>
      <c r="L989" s="28"/>
      <c r="M989" s="28"/>
      <c r="N989" s="28"/>
      <c r="O989" s="28"/>
      <c r="P989" s="28"/>
      <c r="Q989" s="28"/>
      <c r="R989" s="28"/>
      <c r="S989" s="28"/>
      <c r="T989" s="28"/>
      <c r="U989" s="28"/>
      <c r="V989" s="28"/>
      <c r="W989" s="28"/>
      <c r="X989" s="28"/>
      <c r="Y989" s="28"/>
      <c r="Z989" s="28"/>
    </row>
  </sheetData>
  <mergeCells count="6">
    <mergeCell ref="A3:Z3"/>
    <mergeCell ref="A16:Z16"/>
    <mergeCell ref="A32:Z32"/>
    <mergeCell ref="A42:Z42"/>
    <mergeCell ref="A55:Z55"/>
    <mergeCell ref="A74:Z74"/>
  </mergeCells>
  <dataValidations>
    <dataValidation type="list" allowBlank="1" showErrorMessage="1" sqref="D4:D15 D17:D31 D33:D41 D43:D54 D56:D73 D75:D91">
      <formula1>"GET,POST,PATCH,DELETE,PUT"</formula1>
    </dataValidation>
    <dataValidation type="list" allowBlank="1" showErrorMessage="1" sqref="L4:M15 L17:M31 L33:M41 L43:M54 L56:M73 L75:M91">
      <formula1>"High,Medium,Low,N/A,Critical"</formula1>
    </dataValidation>
    <dataValidation type="list" allowBlank="1" showErrorMessage="1" sqref="K4:K15 K17:K31 K33:K41 K43:K54 K56:K73 K75:K91">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8.38"/>
    <col customWidth="1" min="3" max="3" width="27.88"/>
    <col customWidth="1" min="4" max="4" width="15.75"/>
    <col customWidth="1" min="5" max="5" width="28.75"/>
    <col customWidth="1" min="6" max="6" width="31.38"/>
    <col customWidth="1" min="7" max="7" width="30.88"/>
    <col customWidth="1" min="8" max="8" width="30.0"/>
    <col customWidth="1" min="9" max="9" width="29.75"/>
    <col customWidth="1" min="10" max="10" width="29.63"/>
    <col customWidth="1" min="11" max="11" width="19.5"/>
    <col customWidth="1" min="12" max="12" width="17.13"/>
    <col customWidth="1" min="13" max="13" width="17.38"/>
    <col customWidth="1" min="14" max="14" width="21.0"/>
    <col customWidth="1" min="15" max="15" width="25.63"/>
  </cols>
  <sheetData>
    <row r="1">
      <c r="A1" s="2" t="s">
        <v>0</v>
      </c>
      <c r="B1" s="2" t="s">
        <v>13</v>
      </c>
      <c r="C1" s="59"/>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c r="A3" s="48"/>
      <c r="B3" s="49" t="s">
        <v>1056</v>
      </c>
      <c r="C3" s="23"/>
      <c r="D3" s="23"/>
      <c r="E3" s="23"/>
      <c r="F3" s="23"/>
      <c r="G3" s="23"/>
      <c r="H3" s="23"/>
      <c r="I3" s="23"/>
      <c r="J3" s="24"/>
      <c r="K3" s="69"/>
      <c r="L3" s="23"/>
      <c r="M3" s="23"/>
      <c r="N3" s="23"/>
      <c r="O3" s="24"/>
    </row>
    <row r="4">
      <c r="A4" s="38" t="s">
        <v>1057</v>
      </c>
      <c r="B4" s="38" t="s">
        <v>38</v>
      </c>
      <c r="C4" s="39" t="s">
        <v>1058</v>
      </c>
      <c r="D4" s="8" t="s">
        <v>219</v>
      </c>
      <c r="E4" s="8" t="s">
        <v>1059</v>
      </c>
      <c r="F4" s="39" t="s">
        <v>1060</v>
      </c>
      <c r="G4" s="39" t="s">
        <v>487</v>
      </c>
      <c r="H4" s="39" t="s">
        <v>1061</v>
      </c>
      <c r="I4" s="39" t="s">
        <v>1062</v>
      </c>
      <c r="J4" s="39" t="s">
        <v>1063</v>
      </c>
      <c r="K4" s="38" t="s">
        <v>91</v>
      </c>
      <c r="L4" s="8" t="s">
        <v>92</v>
      </c>
      <c r="M4" s="8" t="s">
        <v>92</v>
      </c>
      <c r="N4" s="39"/>
      <c r="O4" s="39" t="s">
        <v>130</v>
      </c>
    </row>
    <row r="5">
      <c r="A5" s="38" t="s">
        <v>1064</v>
      </c>
      <c r="B5" s="38" t="s">
        <v>38</v>
      </c>
      <c r="C5" s="39" t="s">
        <v>1065</v>
      </c>
      <c r="D5" s="8" t="s">
        <v>219</v>
      </c>
      <c r="E5" s="8" t="s">
        <v>1059</v>
      </c>
      <c r="F5" s="39" t="s">
        <v>1066</v>
      </c>
      <c r="G5" s="39" t="s">
        <v>487</v>
      </c>
      <c r="H5" s="39" t="s">
        <v>1067</v>
      </c>
      <c r="I5" s="39" t="s">
        <v>1068</v>
      </c>
      <c r="J5" s="39" t="s">
        <v>1063</v>
      </c>
      <c r="K5" s="38" t="s">
        <v>91</v>
      </c>
      <c r="L5" s="8" t="s">
        <v>92</v>
      </c>
      <c r="M5" s="8" t="s">
        <v>92</v>
      </c>
      <c r="N5" s="39"/>
      <c r="O5" s="39"/>
    </row>
    <row r="6">
      <c r="A6" s="38" t="s">
        <v>1069</v>
      </c>
      <c r="B6" s="38" t="s">
        <v>38</v>
      </c>
      <c r="C6" s="39" t="s">
        <v>1070</v>
      </c>
      <c r="D6" s="8" t="s">
        <v>219</v>
      </c>
      <c r="E6" s="8" t="s">
        <v>1059</v>
      </c>
      <c r="F6" s="39" t="s">
        <v>1071</v>
      </c>
      <c r="G6" s="39" t="s">
        <v>487</v>
      </c>
      <c r="H6" s="39" t="s">
        <v>1072</v>
      </c>
      <c r="I6" s="39" t="s">
        <v>1073</v>
      </c>
      <c r="J6" s="39" t="s">
        <v>1063</v>
      </c>
      <c r="K6" s="38" t="s">
        <v>91</v>
      </c>
      <c r="L6" s="8" t="s">
        <v>92</v>
      </c>
      <c r="M6" s="8" t="s">
        <v>92</v>
      </c>
      <c r="N6" s="39"/>
      <c r="O6" s="39"/>
    </row>
    <row r="7">
      <c r="A7" s="38" t="s">
        <v>1074</v>
      </c>
      <c r="B7" s="38" t="s">
        <v>38</v>
      </c>
      <c r="C7" s="39" t="s">
        <v>1075</v>
      </c>
      <c r="D7" s="8" t="s">
        <v>219</v>
      </c>
      <c r="E7" s="8" t="s">
        <v>1059</v>
      </c>
      <c r="F7" s="39" t="s">
        <v>1076</v>
      </c>
      <c r="G7" s="39" t="s">
        <v>487</v>
      </c>
      <c r="H7" s="39" t="s">
        <v>1077</v>
      </c>
      <c r="I7" s="39" t="s">
        <v>1078</v>
      </c>
      <c r="J7" s="39" t="s">
        <v>1079</v>
      </c>
      <c r="K7" s="38" t="s">
        <v>172</v>
      </c>
      <c r="L7" s="8" t="s">
        <v>92</v>
      </c>
      <c r="M7" s="8" t="s">
        <v>92</v>
      </c>
      <c r="N7" s="39"/>
      <c r="O7" s="39" t="s">
        <v>1080</v>
      </c>
    </row>
    <row r="8">
      <c r="A8" s="38" t="s">
        <v>1081</v>
      </c>
      <c r="B8" s="38" t="s">
        <v>38</v>
      </c>
      <c r="C8" s="39" t="s">
        <v>1082</v>
      </c>
      <c r="D8" s="8" t="s">
        <v>219</v>
      </c>
      <c r="E8" s="8" t="s">
        <v>1059</v>
      </c>
      <c r="F8" s="39" t="s">
        <v>1083</v>
      </c>
      <c r="G8" s="39" t="s">
        <v>487</v>
      </c>
      <c r="H8" s="39" t="s">
        <v>1084</v>
      </c>
      <c r="I8" s="39" t="s">
        <v>1085</v>
      </c>
      <c r="J8" s="39" t="s">
        <v>1086</v>
      </c>
      <c r="K8" s="38" t="s">
        <v>91</v>
      </c>
      <c r="L8" s="8" t="s">
        <v>92</v>
      </c>
      <c r="M8" s="8" t="s">
        <v>92</v>
      </c>
      <c r="N8" s="39"/>
      <c r="O8" s="39" t="s">
        <v>1087</v>
      </c>
    </row>
    <row r="9">
      <c r="A9" s="38" t="s">
        <v>1088</v>
      </c>
      <c r="B9" s="38" t="s">
        <v>38</v>
      </c>
      <c r="C9" s="39" t="s">
        <v>1089</v>
      </c>
      <c r="D9" s="8" t="s">
        <v>219</v>
      </c>
      <c r="E9" s="8" t="s">
        <v>1059</v>
      </c>
      <c r="F9" s="39" t="s">
        <v>1090</v>
      </c>
      <c r="G9" s="39" t="s">
        <v>487</v>
      </c>
      <c r="H9" s="39" t="s">
        <v>1091</v>
      </c>
      <c r="I9" s="39" t="s">
        <v>1092</v>
      </c>
      <c r="J9" s="39" t="s">
        <v>1093</v>
      </c>
      <c r="K9" s="38" t="s">
        <v>172</v>
      </c>
      <c r="L9" s="8" t="s">
        <v>105</v>
      </c>
      <c r="M9" s="8" t="s">
        <v>105</v>
      </c>
      <c r="N9" s="70" t="s">
        <v>1094</v>
      </c>
      <c r="O9" s="39" t="s">
        <v>1095</v>
      </c>
    </row>
    <row r="10">
      <c r="A10" s="38" t="s">
        <v>1096</v>
      </c>
      <c r="B10" s="38" t="s">
        <v>38</v>
      </c>
      <c r="C10" s="39" t="s">
        <v>1097</v>
      </c>
      <c r="D10" s="8" t="s">
        <v>219</v>
      </c>
      <c r="E10" s="8" t="s">
        <v>1059</v>
      </c>
      <c r="F10" s="39" t="s">
        <v>1098</v>
      </c>
      <c r="G10" s="39" t="s">
        <v>487</v>
      </c>
      <c r="H10" s="39" t="s">
        <v>1097</v>
      </c>
      <c r="I10" s="39" t="s">
        <v>1099</v>
      </c>
      <c r="J10" s="39" t="s">
        <v>144</v>
      </c>
      <c r="K10" s="38" t="s">
        <v>91</v>
      </c>
      <c r="L10" s="8" t="s">
        <v>105</v>
      </c>
      <c r="M10" s="8" t="s">
        <v>105</v>
      </c>
      <c r="N10" s="39"/>
      <c r="O10" s="39" t="s">
        <v>136</v>
      </c>
    </row>
    <row r="11">
      <c r="A11" s="38" t="s">
        <v>1100</v>
      </c>
      <c r="B11" s="38" t="s">
        <v>38</v>
      </c>
      <c r="C11" s="39" t="s">
        <v>1101</v>
      </c>
      <c r="D11" s="8" t="s">
        <v>219</v>
      </c>
      <c r="E11" s="8" t="s">
        <v>1059</v>
      </c>
      <c r="F11" s="39" t="s">
        <v>1102</v>
      </c>
      <c r="G11" s="39" t="s">
        <v>487</v>
      </c>
      <c r="H11" s="39" t="s">
        <v>1101</v>
      </c>
      <c r="I11" s="39" t="s">
        <v>1103</v>
      </c>
      <c r="J11" s="39"/>
      <c r="K11" s="38" t="s">
        <v>172</v>
      </c>
      <c r="L11" s="8" t="s">
        <v>105</v>
      </c>
      <c r="M11" s="8" t="s">
        <v>105</v>
      </c>
      <c r="N11" s="39"/>
      <c r="O11" s="39" t="s">
        <v>1104</v>
      </c>
    </row>
    <row r="12">
      <c r="A12" s="38" t="s">
        <v>1105</v>
      </c>
      <c r="B12" s="38" t="s">
        <v>38</v>
      </c>
      <c r="C12" s="39" t="s">
        <v>1106</v>
      </c>
      <c r="D12" s="8" t="s">
        <v>219</v>
      </c>
      <c r="E12" s="8" t="s">
        <v>1059</v>
      </c>
      <c r="F12" s="39" t="s">
        <v>1107</v>
      </c>
      <c r="G12" s="39" t="s">
        <v>499</v>
      </c>
      <c r="H12" s="39" t="s">
        <v>1108</v>
      </c>
      <c r="I12" s="39" t="s">
        <v>1109</v>
      </c>
      <c r="J12" s="39" t="s">
        <v>1063</v>
      </c>
      <c r="K12" s="38" t="s">
        <v>91</v>
      </c>
      <c r="L12" s="8" t="s">
        <v>92</v>
      </c>
      <c r="M12" s="8" t="s">
        <v>92</v>
      </c>
      <c r="N12" s="39"/>
      <c r="O12" s="39" t="s">
        <v>206</v>
      </c>
    </row>
    <row r="13">
      <c r="A13" s="38" t="s">
        <v>1110</v>
      </c>
      <c r="B13" s="38" t="s">
        <v>38</v>
      </c>
      <c r="C13" s="39" t="s">
        <v>506</v>
      </c>
      <c r="D13" s="8" t="s">
        <v>219</v>
      </c>
      <c r="E13" s="8" t="s">
        <v>1059</v>
      </c>
      <c r="F13" s="39" t="s">
        <v>1107</v>
      </c>
      <c r="G13" s="39" t="s">
        <v>487</v>
      </c>
      <c r="H13" s="39" t="s">
        <v>1108</v>
      </c>
      <c r="I13" s="39" t="s">
        <v>1111</v>
      </c>
      <c r="J13" s="39" t="s">
        <v>1063</v>
      </c>
      <c r="K13" s="38" t="s">
        <v>91</v>
      </c>
      <c r="L13" s="8" t="s">
        <v>121</v>
      </c>
      <c r="M13" s="8" t="s">
        <v>121</v>
      </c>
      <c r="N13" s="39"/>
      <c r="O13" s="39" t="s">
        <v>100</v>
      </c>
    </row>
    <row r="14">
      <c r="A14" s="38" t="s">
        <v>1112</v>
      </c>
      <c r="B14" s="38" t="s">
        <v>38</v>
      </c>
      <c r="C14" s="39" t="s">
        <v>1113</v>
      </c>
      <c r="D14" s="8" t="s">
        <v>219</v>
      </c>
      <c r="E14" s="8" t="s">
        <v>1059</v>
      </c>
      <c r="F14" s="39" t="s">
        <v>1114</v>
      </c>
      <c r="G14" s="39" t="s">
        <v>487</v>
      </c>
      <c r="H14" s="39" t="s">
        <v>1115</v>
      </c>
      <c r="I14" s="39" t="s">
        <v>1116</v>
      </c>
      <c r="J14" s="39" t="s">
        <v>1063</v>
      </c>
      <c r="K14" s="38" t="s">
        <v>91</v>
      </c>
      <c r="L14" s="8" t="s">
        <v>105</v>
      </c>
      <c r="M14" s="8" t="s">
        <v>105</v>
      </c>
      <c r="N14" s="39"/>
      <c r="O14" s="39" t="s">
        <v>387</v>
      </c>
    </row>
    <row r="15">
      <c r="A15" s="38" t="s">
        <v>1117</v>
      </c>
      <c r="B15" s="38" t="s">
        <v>38</v>
      </c>
      <c r="C15" s="39" t="s">
        <v>1118</v>
      </c>
      <c r="D15" s="8" t="s">
        <v>219</v>
      </c>
      <c r="E15" s="8" t="s">
        <v>1059</v>
      </c>
      <c r="F15" s="39" t="s">
        <v>1107</v>
      </c>
      <c r="G15" s="39" t="s">
        <v>487</v>
      </c>
      <c r="H15" s="39" t="s">
        <v>1119</v>
      </c>
      <c r="I15" s="39" t="s">
        <v>1120</v>
      </c>
      <c r="J15" s="39" t="s">
        <v>1063</v>
      </c>
      <c r="K15" s="38" t="s">
        <v>91</v>
      </c>
      <c r="L15" s="8" t="s">
        <v>105</v>
      </c>
      <c r="M15" s="8" t="s">
        <v>105</v>
      </c>
      <c r="N15" s="39"/>
      <c r="O15" s="39" t="s">
        <v>1121</v>
      </c>
    </row>
    <row r="16">
      <c r="A16" s="38" t="s">
        <v>1122</v>
      </c>
      <c r="B16" s="38" t="s">
        <v>38</v>
      </c>
      <c r="C16" s="39" t="s">
        <v>1123</v>
      </c>
      <c r="D16" s="8" t="s">
        <v>219</v>
      </c>
      <c r="E16" s="8" t="s">
        <v>1059</v>
      </c>
      <c r="F16" s="39" t="s">
        <v>1124</v>
      </c>
      <c r="G16" s="39" t="s">
        <v>487</v>
      </c>
      <c r="H16" s="39" t="s">
        <v>1125</v>
      </c>
      <c r="I16" s="39" t="s">
        <v>1126</v>
      </c>
      <c r="J16" s="39" t="s">
        <v>1127</v>
      </c>
      <c r="K16" s="38" t="s">
        <v>802</v>
      </c>
      <c r="L16" s="8" t="s">
        <v>92</v>
      </c>
      <c r="M16" s="8" t="s">
        <v>105</v>
      </c>
      <c r="N16" s="70" t="s">
        <v>1128</v>
      </c>
      <c r="O16" s="39" t="s">
        <v>278</v>
      </c>
    </row>
    <row r="17">
      <c r="A17" s="38" t="s">
        <v>1129</v>
      </c>
      <c r="B17" s="38" t="s">
        <v>38</v>
      </c>
      <c r="C17" s="39" t="s">
        <v>1130</v>
      </c>
      <c r="D17" s="8" t="s">
        <v>219</v>
      </c>
      <c r="E17" s="8" t="s">
        <v>1059</v>
      </c>
      <c r="F17" s="39" t="s">
        <v>1131</v>
      </c>
      <c r="G17" s="39" t="s">
        <v>487</v>
      </c>
      <c r="H17" s="39" t="s">
        <v>1132</v>
      </c>
      <c r="I17" s="39" t="s">
        <v>1133</v>
      </c>
      <c r="J17" s="39"/>
      <c r="K17" s="38" t="s">
        <v>172</v>
      </c>
      <c r="L17" s="8" t="s">
        <v>105</v>
      </c>
      <c r="M17" s="8" t="s">
        <v>105</v>
      </c>
      <c r="N17" s="39"/>
      <c r="O17" s="39" t="s">
        <v>1134</v>
      </c>
    </row>
    <row r="18">
      <c r="A18" s="38" t="s">
        <v>1135</v>
      </c>
      <c r="B18" s="38" t="s">
        <v>38</v>
      </c>
      <c r="C18" s="39" t="s">
        <v>1136</v>
      </c>
      <c r="D18" s="8" t="s">
        <v>219</v>
      </c>
      <c r="E18" s="8" t="s">
        <v>1059</v>
      </c>
      <c r="F18" s="39" t="s">
        <v>1137</v>
      </c>
      <c r="G18" s="39" t="s">
        <v>487</v>
      </c>
      <c r="H18" s="39" t="s">
        <v>1138</v>
      </c>
      <c r="I18" s="39" t="s">
        <v>1139</v>
      </c>
      <c r="J18" s="39" t="s">
        <v>1140</v>
      </c>
      <c r="K18" s="38" t="s">
        <v>91</v>
      </c>
      <c r="L18" s="8" t="s">
        <v>92</v>
      </c>
      <c r="M18" s="8" t="s">
        <v>92</v>
      </c>
      <c r="N18" s="39"/>
      <c r="O18" s="39" t="s">
        <v>206</v>
      </c>
    </row>
    <row r="19">
      <c r="A19" s="38" t="s">
        <v>1141</v>
      </c>
      <c r="B19" s="38" t="s">
        <v>38</v>
      </c>
      <c r="C19" s="39" t="s">
        <v>1142</v>
      </c>
      <c r="D19" s="8" t="s">
        <v>219</v>
      </c>
      <c r="E19" s="8" t="s">
        <v>1059</v>
      </c>
      <c r="F19" s="39" t="s">
        <v>1143</v>
      </c>
      <c r="G19" s="39" t="s">
        <v>487</v>
      </c>
      <c r="H19" s="39" t="s">
        <v>1108</v>
      </c>
      <c r="I19" s="39" t="s">
        <v>1144</v>
      </c>
      <c r="J19" s="39" t="s">
        <v>1140</v>
      </c>
      <c r="K19" s="38" t="s">
        <v>91</v>
      </c>
      <c r="L19" s="8" t="s">
        <v>92</v>
      </c>
      <c r="M19" s="8" t="s">
        <v>92</v>
      </c>
      <c r="N19" s="39"/>
      <c r="O19" s="39" t="s">
        <v>206</v>
      </c>
    </row>
    <row r="20">
      <c r="A20" s="38" t="s">
        <v>1145</v>
      </c>
      <c r="B20" s="38" t="s">
        <v>38</v>
      </c>
      <c r="C20" s="39" t="s">
        <v>1146</v>
      </c>
      <c r="D20" s="8" t="s">
        <v>219</v>
      </c>
      <c r="E20" s="8" t="s">
        <v>1059</v>
      </c>
      <c r="F20" s="39" t="s">
        <v>1147</v>
      </c>
      <c r="G20" s="39" t="s">
        <v>487</v>
      </c>
      <c r="H20" s="39" t="s">
        <v>1148</v>
      </c>
      <c r="I20" s="39" t="s">
        <v>1149</v>
      </c>
      <c r="J20" s="39" t="s">
        <v>144</v>
      </c>
      <c r="K20" s="38" t="s">
        <v>91</v>
      </c>
      <c r="L20" s="8" t="s">
        <v>105</v>
      </c>
      <c r="M20" s="8" t="s">
        <v>105</v>
      </c>
      <c r="N20" s="39"/>
      <c r="O20" s="39" t="s">
        <v>1150</v>
      </c>
    </row>
    <row r="21">
      <c r="A21" s="38" t="s">
        <v>1151</v>
      </c>
      <c r="B21" s="38" t="s">
        <v>38</v>
      </c>
      <c r="C21" s="39" t="s">
        <v>520</v>
      </c>
      <c r="D21" s="8" t="s">
        <v>219</v>
      </c>
      <c r="E21" s="8" t="s">
        <v>1059</v>
      </c>
      <c r="F21" s="39" t="s">
        <v>1107</v>
      </c>
      <c r="G21" s="39" t="s">
        <v>1152</v>
      </c>
      <c r="H21" s="39" t="s">
        <v>1108</v>
      </c>
      <c r="I21" s="39" t="s">
        <v>1153</v>
      </c>
      <c r="J21" s="39"/>
      <c r="K21" s="38" t="s">
        <v>172</v>
      </c>
      <c r="L21" s="8" t="s">
        <v>92</v>
      </c>
      <c r="M21" s="8" t="s">
        <v>92</v>
      </c>
      <c r="N21" s="39"/>
      <c r="O21" s="39" t="s">
        <v>527</v>
      </c>
    </row>
    <row r="22">
      <c r="A22" s="38" t="s">
        <v>1154</v>
      </c>
      <c r="B22" s="38" t="s">
        <v>38</v>
      </c>
      <c r="C22" s="50" t="s">
        <v>1155</v>
      </c>
      <c r="D22" s="38" t="s">
        <v>84</v>
      </c>
      <c r="E22" s="8" t="s">
        <v>1059</v>
      </c>
      <c r="F22" s="39" t="s">
        <v>1107</v>
      </c>
      <c r="G22" s="50" t="s">
        <v>487</v>
      </c>
      <c r="H22" s="50" t="s">
        <v>1108</v>
      </c>
      <c r="I22" s="50" t="s">
        <v>1156</v>
      </c>
      <c r="J22" s="50" t="s">
        <v>1157</v>
      </c>
      <c r="K22" s="8" t="s">
        <v>802</v>
      </c>
      <c r="L22" s="38" t="s">
        <v>105</v>
      </c>
      <c r="M22" s="38" t="s">
        <v>105</v>
      </c>
      <c r="N22" s="71"/>
      <c r="O22" s="50" t="s">
        <v>1158</v>
      </c>
    </row>
    <row r="23">
      <c r="A23" s="38" t="s">
        <v>1159</v>
      </c>
      <c r="B23" s="38" t="s">
        <v>38</v>
      </c>
      <c r="C23" s="50" t="s">
        <v>1160</v>
      </c>
      <c r="D23" s="38" t="s">
        <v>219</v>
      </c>
      <c r="E23" s="8" t="s">
        <v>1161</v>
      </c>
      <c r="F23" s="39" t="s">
        <v>1107</v>
      </c>
      <c r="G23" s="50" t="s">
        <v>487</v>
      </c>
      <c r="H23" s="50" t="s">
        <v>1108</v>
      </c>
      <c r="I23" s="50" t="s">
        <v>1162</v>
      </c>
      <c r="J23" s="50" t="s">
        <v>144</v>
      </c>
      <c r="K23" s="38" t="s">
        <v>91</v>
      </c>
      <c r="L23" s="38" t="s">
        <v>105</v>
      </c>
      <c r="M23" s="38" t="s">
        <v>105</v>
      </c>
      <c r="N23" s="71"/>
      <c r="O23" s="50" t="s">
        <v>1163</v>
      </c>
    </row>
    <row r="24">
      <c r="A24" s="38" t="s">
        <v>1164</v>
      </c>
      <c r="B24" s="38" t="s">
        <v>38</v>
      </c>
      <c r="C24" s="50" t="s">
        <v>1165</v>
      </c>
      <c r="D24" s="38" t="s">
        <v>219</v>
      </c>
      <c r="E24" s="8" t="s">
        <v>1059</v>
      </c>
      <c r="F24" s="39" t="s">
        <v>1107</v>
      </c>
      <c r="G24" s="50" t="s">
        <v>1166</v>
      </c>
      <c r="H24" s="50" t="s">
        <v>1108</v>
      </c>
      <c r="I24" s="50" t="s">
        <v>1167</v>
      </c>
      <c r="J24" s="50" t="s">
        <v>1168</v>
      </c>
      <c r="K24" s="38" t="s">
        <v>91</v>
      </c>
      <c r="L24" s="38" t="s">
        <v>92</v>
      </c>
      <c r="M24" s="38" t="s">
        <v>92</v>
      </c>
      <c r="N24" s="71"/>
      <c r="O24" s="50" t="s">
        <v>1169</v>
      </c>
    </row>
    <row r="25">
      <c r="A25" s="48"/>
      <c r="B25" s="44" t="s">
        <v>1170</v>
      </c>
      <c r="C25" s="23"/>
      <c r="D25" s="23"/>
      <c r="E25" s="23"/>
      <c r="F25" s="23"/>
      <c r="G25" s="23"/>
      <c r="H25" s="23"/>
      <c r="I25" s="23"/>
      <c r="J25" s="24"/>
      <c r="K25" s="49"/>
      <c r="L25" s="23"/>
      <c r="M25" s="23"/>
      <c r="N25" s="23"/>
      <c r="O25" s="24"/>
    </row>
    <row r="26">
      <c r="A26" s="38" t="s">
        <v>1171</v>
      </c>
      <c r="B26" s="38" t="s">
        <v>38</v>
      </c>
      <c r="C26" s="39" t="s">
        <v>1172</v>
      </c>
      <c r="D26" s="8" t="s">
        <v>734</v>
      </c>
      <c r="E26" s="8" t="s">
        <v>1173</v>
      </c>
      <c r="F26" s="39" t="s">
        <v>1174</v>
      </c>
      <c r="G26" s="39" t="s">
        <v>1175</v>
      </c>
      <c r="H26" s="39" t="s">
        <v>1176</v>
      </c>
      <c r="I26" s="39" t="s">
        <v>1177</v>
      </c>
      <c r="J26" s="39" t="s">
        <v>144</v>
      </c>
      <c r="K26" s="38" t="s">
        <v>91</v>
      </c>
      <c r="L26" s="8" t="s">
        <v>92</v>
      </c>
      <c r="M26" s="8" t="s">
        <v>92</v>
      </c>
      <c r="N26" s="39"/>
      <c r="O26" s="39" t="s">
        <v>130</v>
      </c>
    </row>
    <row r="27">
      <c r="A27" s="38" t="s">
        <v>1178</v>
      </c>
      <c r="B27" s="38" t="s">
        <v>38</v>
      </c>
      <c r="C27" s="39" t="s">
        <v>1179</v>
      </c>
      <c r="D27" s="8" t="s">
        <v>734</v>
      </c>
      <c r="E27" s="8" t="s">
        <v>1173</v>
      </c>
      <c r="F27" s="39" t="s">
        <v>1180</v>
      </c>
      <c r="G27" s="39" t="s">
        <v>487</v>
      </c>
      <c r="H27" s="39" t="s">
        <v>750</v>
      </c>
      <c r="I27" s="39" t="s">
        <v>1181</v>
      </c>
      <c r="J27" s="39" t="s">
        <v>1182</v>
      </c>
      <c r="K27" s="38" t="s">
        <v>91</v>
      </c>
      <c r="L27" s="8" t="s">
        <v>105</v>
      </c>
      <c r="M27" s="8" t="s">
        <v>105</v>
      </c>
      <c r="N27" s="39"/>
      <c r="O27" s="39" t="s">
        <v>490</v>
      </c>
    </row>
    <row r="28">
      <c r="A28" s="38" t="s">
        <v>1183</v>
      </c>
      <c r="B28" s="38" t="s">
        <v>38</v>
      </c>
      <c r="C28" s="39" t="s">
        <v>1184</v>
      </c>
      <c r="D28" s="8" t="s">
        <v>734</v>
      </c>
      <c r="E28" s="8" t="s">
        <v>1173</v>
      </c>
      <c r="F28" s="39" t="s">
        <v>1185</v>
      </c>
      <c r="G28" s="39" t="s">
        <v>487</v>
      </c>
      <c r="H28" s="39" t="s">
        <v>750</v>
      </c>
      <c r="I28" s="39" t="s">
        <v>1186</v>
      </c>
      <c r="J28" s="39" t="s">
        <v>1182</v>
      </c>
      <c r="K28" s="38" t="s">
        <v>91</v>
      </c>
      <c r="L28" s="8" t="s">
        <v>105</v>
      </c>
      <c r="M28" s="8" t="s">
        <v>105</v>
      </c>
      <c r="N28" s="39"/>
      <c r="O28" s="39" t="s">
        <v>496</v>
      </c>
    </row>
    <row r="29">
      <c r="A29" s="38" t="s">
        <v>1187</v>
      </c>
      <c r="B29" s="38" t="s">
        <v>38</v>
      </c>
      <c r="C29" s="39" t="s">
        <v>1188</v>
      </c>
      <c r="D29" s="8" t="s">
        <v>734</v>
      </c>
      <c r="E29" s="8" t="s">
        <v>1173</v>
      </c>
      <c r="F29" s="39" t="s">
        <v>1174</v>
      </c>
      <c r="G29" s="39" t="s">
        <v>499</v>
      </c>
      <c r="H29" s="39" t="s">
        <v>750</v>
      </c>
      <c r="I29" s="39" t="s">
        <v>141</v>
      </c>
      <c r="J29" s="39" t="s">
        <v>144</v>
      </c>
      <c r="K29" s="38" t="s">
        <v>91</v>
      </c>
      <c r="L29" s="8" t="s">
        <v>92</v>
      </c>
      <c r="M29" s="8" t="s">
        <v>92</v>
      </c>
      <c r="N29" s="39"/>
      <c r="O29" s="39" t="s">
        <v>206</v>
      </c>
    </row>
    <row r="30">
      <c r="A30" s="38" t="s">
        <v>1189</v>
      </c>
      <c r="B30" s="38" t="s">
        <v>38</v>
      </c>
      <c r="C30" s="39" t="s">
        <v>1190</v>
      </c>
      <c r="D30" s="8" t="s">
        <v>734</v>
      </c>
      <c r="E30" s="8" t="s">
        <v>1173</v>
      </c>
      <c r="F30" s="39" t="s">
        <v>1174</v>
      </c>
      <c r="G30" s="39" t="s">
        <v>1191</v>
      </c>
      <c r="H30" s="39" t="s">
        <v>750</v>
      </c>
      <c r="I30" s="39" t="s">
        <v>967</v>
      </c>
      <c r="J30" s="39" t="s">
        <v>1192</v>
      </c>
      <c r="K30" s="38" t="s">
        <v>91</v>
      </c>
      <c r="L30" s="8" t="s">
        <v>92</v>
      </c>
      <c r="M30" s="8" t="s">
        <v>92</v>
      </c>
      <c r="N30" s="39"/>
      <c r="O30" s="39" t="s">
        <v>174</v>
      </c>
    </row>
    <row r="31">
      <c r="A31" s="38" t="s">
        <v>1193</v>
      </c>
      <c r="B31" s="38" t="s">
        <v>38</v>
      </c>
      <c r="C31" s="39" t="s">
        <v>1194</v>
      </c>
      <c r="D31" s="8" t="s">
        <v>734</v>
      </c>
      <c r="E31" s="8" t="s">
        <v>1173</v>
      </c>
      <c r="F31" s="39" t="s">
        <v>1195</v>
      </c>
      <c r="G31" s="39" t="s">
        <v>1196</v>
      </c>
      <c r="H31" s="39" t="s">
        <v>1027</v>
      </c>
      <c r="I31" s="39" t="s">
        <v>1197</v>
      </c>
      <c r="J31" s="39" t="s">
        <v>1182</v>
      </c>
      <c r="K31" s="38" t="s">
        <v>91</v>
      </c>
      <c r="L31" s="8" t="s">
        <v>121</v>
      </c>
      <c r="M31" s="8" t="s">
        <v>121</v>
      </c>
      <c r="N31" s="39"/>
      <c r="O31" s="39" t="s">
        <v>1198</v>
      </c>
    </row>
    <row r="32">
      <c r="A32" s="38" t="s">
        <v>1199</v>
      </c>
      <c r="B32" s="38" t="s">
        <v>38</v>
      </c>
      <c r="C32" s="39" t="s">
        <v>1200</v>
      </c>
      <c r="D32" s="8" t="s">
        <v>734</v>
      </c>
      <c r="E32" s="8" t="s">
        <v>1173</v>
      </c>
      <c r="F32" s="72" t="s">
        <v>1201</v>
      </c>
      <c r="G32" s="39" t="s">
        <v>487</v>
      </c>
      <c r="H32" s="39" t="s">
        <v>750</v>
      </c>
      <c r="I32" s="39" t="s">
        <v>1202</v>
      </c>
      <c r="J32" s="39" t="s">
        <v>1182</v>
      </c>
      <c r="K32" s="38" t="s">
        <v>91</v>
      </c>
      <c r="L32" s="8" t="s">
        <v>92</v>
      </c>
      <c r="M32" s="8" t="s">
        <v>92</v>
      </c>
      <c r="N32" s="39"/>
      <c r="O32" s="39" t="s">
        <v>206</v>
      </c>
    </row>
    <row r="33">
      <c r="A33" s="38" t="s">
        <v>1203</v>
      </c>
      <c r="B33" s="38" t="s">
        <v>38</v>
      </c>
      <c r="C33" s="39" t="s">
        <v>1204</v>
      </c>
      <c r="D33" s="8" t="s">
        <v>734</v>
      </c>
      <c r="E33" s="8" t="s">
        <v>1173</v>
      </c>
      <c r="F33" s="39" t="s">
        <v>1205</v>
      </c>
      <c r="G33" s="39" t="s">
        <v>487</v>
      </c>
      <c r="H33" s="39" t="s">
        <v>750</v>
      </c>
      <c r="I33" s="39" t="s">
        <v>1206</v>
      </c>
      <c r="J33" s="39" t="s">
        <v>1182</v>
      </c>
      <c r="K33" s="38" t="s">
        <v>91</v>
      </c>
      <c r="L33" s="8" t="s">
        <v>92</v>
      </c>
      <c r="M33" s="8" t="s">
        <v>92</v>
      </c>
      <c r="N33" s="39"/>
      <c r="O33" s="39" t="s">
        <v>206</v>
      </c>
    </row>
    <row r="34">
      <c r="A34" s="38" t="s">
        <v>1207</v>
      </c>
      <c r="B34" s="38" t="s">
        <v>38</v>
      </c>
      <c r="C34" s="39" t="s">
        <v>1208</v>
      </c>
      <c r="D34" s="8" t="s">
        <v>734</v>
      </c>
      <c r="E34" s="8" t="s">
        <v>1173</v>
      </c>
      <c r="F34" s="39" t="s">
        <v>1209</v>
      </c>
      <c r="G34" s="39" t="s">
        <v>307</v>
      </c>
      <c r="H34" s="39" t="s">
        <v>1210</v>
      </c>
      <c r="I34" s="39" t="s">
        <v>1211</v>
      </c>
      <c r="J34" s="39"/>
      <c r="K34" s="38" t="s">
        <v>172</v>
      </c>
      <c r="L34" s="8" t="s">
        <v>105</v>
      </c>
      <c r="M34" s="8" t="s">
        <v>105</v>
      </c>
      <c r="N34" s="39"/>
      <c r="O34" s="39" t="s">
        <v>933</v>
      </c>
    </row>
    <row r="35">
      <c r="A35" s="38" t="s">
        <v>1212</v>
      </c>
      <c r="B35" s="38" t="s">
        <v>38</v>
      </c>
      <c r="C35" s="39" t="s">
        <v>1213</v>
      </c>
      <c r="D35" s="8" t="s">
        <v>734</v>
      </c>
      <c r="E35" s="8" t="s">
        <v>1173</v>
      </c>
      <c r="F35" s="39" t="s">
        <v>517</v>
      </c>
      <c r="G35" s="39" t="s">
        <v>307</v>
      </c>
      <c r="H35" s="39" t="s">
        <v>1214</v>
      </c>
      <c r="I35" s="39" t="s">
        <v>1215</v>
      </c>
      <c r="J35" s="39" t="s">
        <v>144</v>
      </c>
      <c r="K35" s="38" t="s">
        <v>91</v>
      </c>
      <c r="L35" s="8" t="s">
        <v>92</v>
      </c>
      <c r="M35" s="8" t="s">
        <v>105</v>
      </c>
      <c r="N35" s="39"/>
      <c r="O35" s="39" t="s">
        <v>1121</v>
      </c>
    </row>
    <row r="36">
      <c r="A36" s="38" t="s">
        <v>1216</v>
      </c>
      <c r="B36" s="38" t="s">
        <v>38</v>
      </c>
      <c r="C36" s="39" t="s">
        <v>1217</v>
      </c>
      <c r="D36" s="8" t="s">
        <v>734</v>
      </c>
      <c r="E36" s="8" t="s">
        <v>1173</v>
      </c>
      <c r="F36" s="39" t="s">
        <v>517</v>
      </c>
      <c r="G36" s="39" t="s">
        <v>307</v>
      </c>
      <c r="H36" s="39" t="s">
        <v>1218</v>
      </c>
      <c r="I36" s="39" t="s">
        <v>1219</v>
      </c>
      <c r="J36" s="39"/>
      <c r="K36" s="38" t="s">
        <v>172</v>
      </c>
      <c r="L36" s="8" t="s">
        <v>105</v>
      </c>
      <c r="M36" s="8" t="s">
        <v>105</v>
      </c>
      <c r="N36" s="39"/>
      <c r="O36" s="39" t="s">
        <v>387</v>
      </c>
    </row>
    <row r="37">
      <c r="A37" s="38" t="s">
        <v>1220</v>
      </c>
      <c r="B37" s="38" t="s">
        <v>38</v>
      </c>
      <c r="C37" s="39" t="s">
        <v>1221</v>
      </c>
      <c r="D37" s="8" t="s">
        <v>734</v>
      </c>
      <c r="E37" s="8" t="s">
        <v>1173</v>
      </c>
      <c r="F37" s="39" t="s">
        <v>517</v>
      </c>
      <c r="G37" s="39" t="s">
        <v>307</v>
      </c>
      <c r="H37" s="39" t="s">
        <v>750</v>
      </c>
      <c r="I37" s="39" t="s">
        <v>1222</v>
      </c>
      <c r="J37" s="39" t="s">
        <v>144</v>
      </c>
      <c r="K37" s="38" t="s">
        <v>91</v>
      </c>
      <c r="L37" s="8" t="s">
        <v>121</v>
      </c>
      <c r="M37" s="8" t="s">
        <v>121</v>
      </c>
      <c r="N37" s="39"/>
      <c r="O37" s="39" t="s">
        <v>278</v>
      </c>
    </row>
    <row r="38">
      <c r="A38" s="38" t="s">
        <v>1223</v>
      </c>
      <c r="B38" s="38" t="s">
        <v>38</v>
      </c>
      <c r="C38" s="39" t="s">
        <v>1224</v>
      </c>
      <c r="D38" s="8" t="s">
        <v>734</v>
      </c>
      <c r="E38" s="8" t="s">
        <v>1173</v>
      </c>
      <c r="F38" s="39" t="s">
        <v>1225</v>
      </c>
      <c r="G38" s="39" t="s">
        <v>1226</v>
      </c>
      <c r="H38" s="39" t="s">
        <v>1227</v>
      </c>
      <c r="I38" s="39" t="s">
        <v>1133</v>
      </c>
      <c r="J38" s="39"/>
      <c r="K38" s="38" t="s">
        <v>172</v>
      </c>
      <c r="L38" s="8" t="s">
        <v>105</v>
      </c>
      <c r="M38" s="8" t="s">
        <v>105</v>
      </c>
      <c r="N38" s="39"/>
      <c r="O38" s="39" t="s">
        <v>1134</v>
      </c>
    </row>
    <row r="39">
      <c r="A39" s="38" t="s">
        <v>1228</v>
      </c>
      <c r="B39" s="38" t="s">
        <v>38</v>
      </c>
      <c r="C39" s="39" t="s">
        <v>520</v>
      </c>
      <c r="D39" s="8" t="s">
        <v>734</v>
      </c>
      <c r="E39" s="8" t="s">
        <v>1173</v>
      </c>
      <c r="F39" s="39" t="s">
        <v>517</v>
      </c>
      <c r="G39" s="39" t="s">
        <v>1152</v>
      </c>
      <c r="H39" s="39" t="s">
        <v>750</v>
      </c>
      <c r="I39" s="39" t="s">
        <v>579</v>
      </c>
      <c r="J39" s="39"/>
      <c r="K39" s="38" t="s">
        <v>172</v>
      </c>
      <c r="L39" s="8" t="s">
        <v>92</v>
      </c>
      <c r="M39" s="8" t="s">
        <v>92</v>
      </c>
      <c r="N39" s="39"/>
      <c r="O39" s="39" t="s">
        <v>527</v>
      </c>
    </row>
    <row r="40">
      <c r="A40" s="38" t="s">
        <v>1229</v>
      </c>
      <c r="B40" s="38" t="s">
        <v>38</v>
      </c>
      <c r="C40" s="50" t="s">
        <v>1155</v>
      </c>
      <c r="D40" s="38" t="s">
        <v>84</v>
      </c>
      <c r="E40" s="65" t="s">
        <v>1173</v>
      </c>
      <c r="F40" s="39" t="s">
        <v>517</v>
      </c>
      <c r="G40" s="50" t="s">
        <v>307</v>
      </c>
      <c r="H40" s="39" t="s">
        <v>750</v>
      </c>
      <c r="I40" s="50" t="s">
        <v>1156</v>
      </c>
      <c r="J40" s="50" t="s">
        <v>1157</v>
      </c>
      <c r="K40" s="8" t="s">
        <v>802</v>
      </c>
      <c r="L40" s="38" t="s">
        <v>105</v>
      </c>
      <c r="M40" s="38" t="s">
        <v>105</v>
      </c>
      <c r="N40" s="71"/>
      <c r="O40" s="50" t="s">
        <v>1158</v>
      </c>
    </row>
    <row r="41">
      <c r="A41" s="38" t="s">
        <v>1230</v>
      </c>
      <c r="B41" s="38" t="s">
        <v>38</v>
      </c>
      <c r="C41" s="50" t="s">
        <v>1160</v>
      </c>
      <c r="D41" s="38" t="s">
        <v>734</v>
      </c>
      <c r="E41" s="65" t="s">
        <v>1231</v>
      </c>
      <c r="F41" s="39" t="s">
        <v>517</v>
      </c>
      <c r="G41" s="50" t="s">
        <v>307</v>
      </c>
      <c r="H41" s="39" t="s">
        <v>750</v>
      </c>
      <c r="I41" s="50" t="s">
        <v>1162</v>
      </c>
      <c r="J41" s="50" t="s">
        <v>144</v>
      </c>
      <c r="K41" s="38" t="s">
        <v>91</v>
      </c>
      <c r="L41" s="38" t="s">
        <v>105</v>
      </c>
      <c r="M41" s="38" t="s">
        <v>105</v>
      </c>
      <c r="N41" s="71"/>
      <c r="O41" s="50" t="s">
        <v>1163</v>
      </c>
    </row>
  </sheetData>
  <mergeCells count="4">
    <mergeCell ref="B3:J3"/>
    <mergeCell ref="K3:O3"/>
    <mergeCell ref="B25:J25"/>
    <mergeCell ref="K25:O25"/>
  </mergeCells>
  <dataValidations>
    <dataValidation type="list" allowBlank="1" showErrorMessage="1" sqref="D4:D24 D26:D41">
      <formula1>"GET,POST,PATCH,DELETE,PUT"</formula1>
    </dataValidation>
    <dataValidation type="list" allowBlank="1" showErrorMessage="1" sqref="L4:M24 L26:M41">
      <formula1>"High,Medium,Low,N/A"</formula1>
    </dataValidation>
    <dataValidation type="list" allowBlank="1" showErrorMessage="1" sqref="K3:K21 K23:K39 K41">
      <formula1>"Pass,Fail,Not tested,Fixed"</formula1>
    </dataValidation>
    <dataValidation type="list" allowBlank="1" showErrorMessage="1" sqref="K22 K40">
      <formula1>"Pass,Fail,Not Tested,Fixed"</formula1>
    </dataValidation>
  </dataValidations>
  <hyperlinks>
    <hyperlink display="&lt;&lt;&lt;TestScenario" location="TestScenario!A1" ref="A1"/>
    <hyperlink display="&lt;&lt;&lt;APITestScenario" location="APIFunctionality!A1" ref="B1"/>
    <hyperlink display="API-UPLOAD-FILE-006-Screenshot" location="Screenshots!A3" ref="N9"/>
    <hyperlink display="API-UPLOAD-FILE-013-Screenshot" location="Screenshots!A15" ref="N16"/>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0.63"/>
    <col customWidth="1" min="3" max="3" width="26.63"/>
    <col customWidth="1" min="4" max="4" width="27.13"/>
    <col customWidth="1" min="5" max="5" width="28.63"/>
    <col customWidth="1" min="6" max="6" width="28.88"/>
    <col customWidth="1" min="7" max="7" width="26.5"/>
    <col customWidth="1" min="8" max="8" width="18.38"/>
    <col customWidth="1" min="9" max="9" width="18.13"/>
    <col customWidth="1" min="10" max="10" width="17.0"/>
  </cols>
  <sheetData>
    <row r="1">
      <c r="A1" s="73"/>
      <c r="B1" s="74"/>
      <c r="C1" s="74"/>
      <c r="D1" s="74"/>
      <c r="E1" s="74"/>
      <c r="F1" s="74"/>
      <c r="G1" s="74"/>
      <c r="H1" s="74"/>
      <c r="I1" s="74"/>
      <c r="J1" s="74"/>
      <c r="K1" s="74"/>
      <c r="L1" s="74"/>
      <c r="M1" s="74"/>
      <c r="N1" s="74"/>
      <c r="O1" s="74"/>
      <c r="P1" s="74"/>
      <c r="Q1" s="74"/>
      <c r="R1" s="74"/>
      <c r="S1" s="74"/>
      <c r="T1" s="74"/>
      <c r="U1" s="74"/>
      <c r="V1" s="74"/>
      <c r="W1" s="74"/>
      <c r="X1" s="74"/>
      <c r="Y1" s="74"/>
      <c r="Z1" s="74"/>
    </row>
    <row r="2">
      <c r="A2" s="75" t="s">
        <v>55</v>
      </c>
      <c r="B2" s="75" t="s">
        <v>58</v>
      </c>
      <c r="C2" s="75" t="s">
        <v>69</v>
      </c>
      <c r="D2" s="75" t="s">
        <v>1232</v>
      </c>
      <c r="E2" s="75" t="s">
        <v>72</v>
      </c>
      <c r="F2" s="75" t="s">
        <v>1233</v>
      </c>
      <c r="G2" s="75" t="s">
        <v>1234</v>
      </c>
      <c r="H2" s="75" t="s">
        <v>1235</v>
      </c>
      <c r="I2" s="75" t="s">
        <v>1236</v>
      </c>
      <c r="J2" s="75" t="s">
        <v>1237</v>
      </c>
      <c r="K2" s="75" t="s">
        <v>77</v>
      </c>
      <c r="L2" s="75" t="s">
        <v>78</v>
      </c>
      <c r="M2" s="74"/>
      <c r="N2" s="74"/>
      <c r="O2" s="74"/>
      <c r="P2" s="74"/>
      <c r="Q2" s="74"/>
      <c r="R2" s="74"/>
      <c r="S2" s="74"/>
      <c r="T2" s="74"/>
      <c r="U2" s="74"/>
      <c r="V2" s="74"/>
      <c r="W2" s="74"/>
      <c r="X2" s="74"/>
      <c r="Y2" s="74"/>
      <c r="Z2" s="74"/>
    </row>
    <row r="3">
      <c r="A3" s="76" t="s">
        <v>1238</v>
      </c>
      <c r="B3" s="77" t="s">
        <v>1239</v>
      </c>
      <c r="C3" s="77" t="s">
        <v>1240</v>
      </c>
      <c r="D3" s="77" t="s">
        <v>1241</v>
      </c>
      <c r="E3" s="77" t="s">
        <v>1242</v>
      </c>
      <c r="F3" s="77" t="s">
        <v>1243</v>
      </c>
      <c r="G3" s="77" t="s">
        <v>1244</v>
      </c>
      <c r="H3" s="78" t="s">
        <v>91</v>
      </c>
      <c r="I3" s="78" t="s">
        <v>127</v>
      </c>
      <c r="J3" s="78" t="s">
        <v>127</v>
      </c>
      <c r="K3" s="77" t="s">
        <v>399</v>
      </c>
      <c r="L3" s="77" t="s">
        <v>1245</v>
      </c>
      <c r="M3" s="74"/>
      <c r="N3" s="74"/>
      <c r="O3" s="74"/>
      <c r="P3" s="74"/>
      <c r="Q3" s="74"/>
      <c r="R3" s="74"/>
      <c r="S3" s="74"/>
      <c r="T3" s="74"/>
      <c r="U3" s="74"/>
      <c r="V3" s="74"/>
      <c r="W3" s="74"/>
      <c r="X3" s="74"/>
      <c r="Y3" s="74"/>
      <c r="Z3" s="74"/>
    </row>
    <row r="4">
      <c r="A4" s="76" t="s">
        <v>1246</v>
      </c>
      <c r="B4" s="77" t="s">
        <v>1247</v>
      </c>
      <c r="C4" s="77" t="s">
        <v>1248</v>
      </c>
      <c r="D4" s="77" t="s">
        <v>1249</v>
      </c>
      <c r="E4" s="77" t="s">
        <v>1250</v>
      </c>
      <c r="F4" s="77" t="s">
        <v>1251</v>
      </c>
      <c r="G4" s="77" t="s">
        <v>1252</v>
      </c>
      <c r="H4" s="78" t="s">
        <v>91</v>
      </c>
      <c r="I4" s="78" t="s">
        <v>127</v>
      </c>
      <c r="J4" s="78" t="s">
        <v>127</v>
      </c>
      <c r="K4" s="77" t="s">
        <v>399</v>
      </c>
      <c r="L4" s="77" t="s">
        <v>1253</v>
      </c>
      <c r="M4" s="74"/>
      <c r="N4" s="74"/>
      <c r="O4" s="74"/>
      <c r="P4" s="74"/>
      <c r="Q4" s="74"/>
      <c r="R4" s="74"/>
      <c r="S4" s="74"/>
      <c r="T4" s="74"/>
      <c r="U4" s="74"/>
      <c r="V4" s="74"/>
      <c r="W4" s="74"/>
      <c r="X4" s="74"/>
      <c r="Y4" s="74"/>
      <c r="Z4" s="74"/>
    </row>
    <row r="5">
      <c r="A5" s="76" t="s">
        <v>1254</v>
      </c>
      <c r="B5" s="77" t="s">
        <v>1255</v>
      </c>
      <c r="C5" s="77" t="s">
        <v>1256</v>
      </c>
      <c r="D5" s="77" t="s">
        <v>1257</v>
      </c>
      <c r="E5" s="77" t="s">
        <v>1258</v>
      </c>
      <c r="F5" s="77" t="s">
        <v>1259</v>
      </c>
      <c r="G5" s="77" t="s">
        <v>1260</v>
      </c>
      <c r="H5" s="76" t="s">
        <v>802</v>
      </c>
      <c r="I5" s="78" t="s">
        <v>127</v>
      </c>
      <c r="J5" s="78" t="s">
        <v>127</v>
      </c>
      <c r="K5" s="77" t="s">
        <v>399</v>
      </c>
      <c r="L5" s="77" t="s">
        <v>1261</v>
      </c>
      <c r="M5" s="74"/>
      <c r="N5" s="74"/>
      <c r="O5" s="74"/>
      <c r="P5" s="74"/>
      <c r="Q5" s="74"/>
      <c r="R5" s="74"/>
      <c r="S5" s="74"/>
      <c r="T5" s="74"/>
      <c r="U5" s="74"/>
      <c r="V5" s="74"/>
      <c r="W5" s="74"/>
      <c r="X5" s="74"/>
      <c r="Y5" s="74"/>
      <c r="Z5" s="74"/>
    </row>
    <row r="6">
      <c r="A6" s="76" t="s">
        <v>1262</v>
      </c>
      <c r="B6" s="77" t="s">
        <v>1263</v>
      </c>
      <c r="C6" s="77" t="s">
        <v>1264</v>
      </c>
      <c r="D6" s="77" t="s">
        <v>1265</v>
      </c>
      <c r="E6" s="77" t="s">
        <v>1266</v>
      </c>
      <c r="F6" s="77" t="s">
        <v>1267</v>
      </c>
      <c r="G6" s="77" t="s">
        <v>1268</v>
      </c>
      <c r="H6" s="78" t="s">
        <v>91</v>
      </c>
      <c r="I6" s="78" t="s">
        <v>127</v>
      </c>
      <c r="J6" s="78" t="s">
        <v>127</v>
      </c>
      <c r="K6" s="77" t="s">
        <v>399</v>
      </c>
      <c r="L6" s="77" t="s">
        <v>1269</v>
      </c>
      <c r="M6" s="74"/>
      <c r="N6" s="74"/>
      <c r="O6" s="74"/>
      <c r="P6" s="74"/>
      <c r="Q6" s="74"/>
      <c r="R6" s="74"/>
      <c r="S6" s="74"/>
      <c r="T6" s="74"/>
      <c r="U6" s="74"/>
      <c r="V6" s="74"/>
      <c r="W6" s="74"/>
      <c r="X6" s="74"/>
      <c r="Y6" s="74"/>
      <c r="Z6" s="74"/>
    </row>
    <row r="7">
      <c r="A7" s="76" t="s">
        <v>1270</v>
      </c>
      <c r="B7" s="77" t="s">
        <v>1271</v>
      </c>
      <c r="C7" s="77" t="s">
        <v>1272</v>
      </c>
      <c r="D7" s="77" t="s">
        <v>1273</v>
      </c>
      <c r="E7" s="77" t="s">
        <v>1274</v>
      </c>
      <c r="F7" s="77" t="s">
        <v>1275</v>
      </c>
      <c r="G7" s="77" t="s">
        <v>1276</v>
      </c>
      <c r="H7" s="76" t="s">
        <v>802</v>
      </c>
      <c r="I7" s="76" t="s">
        <v>92</v>
      </c>
      <c r="J7" s="76" t="s">
        <v>92</v>
      </c>
      <c r="K7" s="77" t="s">
        <v>399</v>
      </c>
      <c r="L7" s="77" t="s">
        <v>1277</v>
      </c>
      <c r="M7" s="74"/>
      <c r="N7" s="74"/>
      <c r="O7" s="74"/>
      <c r="P7" s="74"/>
      <c r="Q7" s="74"/>
      <c r="R7" s="74"/>
      <c r="S7" s="74"/>
      <c r="T7" s="74"/>
      <c r="U7" s="74"/>
      <c r="V7" s="74"/>
      <c r="W7" s="74"/>
      <c r="X7" s="74"/>
      <c r="Y7" s="74"/>
      <c r="Z7" s="74"/>
    </row>
    <row r="8">
      <c r="A8" s="76" t="s">
        <v>1278</v>
      </c>
      <c r="B8" s="77" t="s">
        <v>1279</v>
      </c>
      <c r="C8" s="77" t="s">
        <v>1280</v>
      </c>
      <c r="D8" s="77" t="s">
        <v>1281</v>
      </c>
      <c r="E8" s="77" t="s">
        <v>1282</v>
      </c>
      <c r="F8" s="77" t="s">
        <v>1283</v>
      </c>
      <c r="G8" s="77" t="s">
        <v>1284</v>
      </c>
      <c r="H8" s="78" t="s">
        <v>91</v>
      </c>
      <c r="I8" s="78" t="s">
        <v>127</v>
      </c>
      <c r="J8" s="78" t="s">
        <v>127</v>
      </c>
      <c r="K8" s="77" t="s">
        <v>399</v>
      </c>
      <c r="L8" s="77" t="s">
        <v>1285</v>
      </c>
      <c r="M8" s="74"/>
      <c r="N8" s="74"/>
      <c r="O8" s="74"/>
      <c r="P8" s="74"/>
      <c r="Q8" s="74"/>
      <c r="R8" s="74"/>
      <c r="S8" s="74"/>
      <c r="T8" s="74"/>
      <c r="U8" s="74"/>
      <c r="V8" s="74"/>
      <c r="W8" s="74"/>
      <c r="X8" s="74"/>
      <c r="Y8" s="74"/>
      <c r="Z8" s="74"/>
    </row>
    <row r="9">
      <c r="A9" s="76" t="s">
        <v>1286</v>
      </c>
      <c r="B9" s="77" t="s">
        <v>1287</v>
      </c>
      <c r="C9" s="77" t="s">
        <v>1288</v>
      </c>
      <c r="D9" s="77" t="s">
        <v>1289</v>
      </c>
      <c r="E9" s="77" t="s">
        <v>1290</v>
      </c>
      <c r="F9" s="77" t="s">
        <v>1291</v>
      </c>
      <c r="G9" s="77" t="s">
        <v>1292</v>
      </c>
      <c r="H9" s="76" t="s">
        <v>802</v>
      </c>
      <c r="I9" s="76" t="s">
        <v>92</v>
      </c>
      <c r="J9" s="76" t="s">
        <v>92</v>
      </c>
      <c r="K9" s="77" t="s">
        <v>399</v>
      </c>
      <c r="L9" s="77" t="s">
        <v>1293</v>
      </c>
      <c r="M9" s="74"/>
      <c r="N9" s="74"/>
      <c r="O9" s="74"/>
      <c r="P9" s="74"/>
      <c r="Q9" s="74"/>
      <c r="R9" s="74"/>
      <c r="S9" s="74"/>
      <c r="T9" s="74"/>
      <c r="U9" s="74"/>
      <c r="V9" s="74"/>
      <c r="W9" s="74"/>
      <c r="X9" s="74"/>
      <c r="Y9" s="74"/>
      <c r="Z9" s="74"/>
    </row>
    <row r="10">
      <c r="A10" s="76"/>
      <c r="B10" s="77"/>
      <c r="C10" s="77"/>
      <c r="D10" s="77"/>
      <c r="E10" s="77"/>
      <c r="F10" s="77"/>
      <c r="G10" s="77"/>
      <c r="H10" s="76"/>
      <c r="I10" s="76"/>
      <c r="J10" s="76"/>
      <c r="K10" s="77"/>
      <c r="L10" s="77"/>
      <c r="M10" s="74"/>
      <c r="N10" s="74"/>
      <c r="O10" s="74"/>
      <c r="P10" s="74"/>
      <c r="Q10" s="74"/>
      <c r="R10" s="74"/>
      <c r="S10" s="74"/>
      <c r="T10" s="74"/>
      <c r="U10" s="74"/>
      <c r="V10" s="74"/>
      <c r="W10" s="74"/>
      <c r="X10" s="74"/>
      <c r="Y10" s="74"/>
      <c r="Z10" s="74"/>
    </row>
    <row r="11">
      <c r="A11" s="76"/>
      <c r="B11" s="77"/>
      <c r="C11" s="77"/>
      <c r="D11" s="77"/>
      <c r="E11" s="77"/>
      <c r="F11" s="77"/>
      <c r="G11" s="77"/>
      <c r="H11" s="78"/>
      <c r="I11" s="78"/>
      <c r="J11" s="78"/>
      <c r="K11" s="77"/>
      <c r="L11" s="77"/>
      <c r="M11" s="74"/>
      <c r="N11" s="74"/>
      <c r="O11" s="74"/>
      <c r="P11" s="74"/>
      <c r="Q11" s="74"/>
      <c r="R11" s="74"/>
      <c r="S11" s="74"/>
      <c r="T11" s="74"/>
      <c r="U11" s="74"/>
      <c r="V11" s="74"/>
      <c r="W11" s="74"/>
      <c r="X11" s="74"/>
      <c r="Y11" s="74"/>
      <c r="Z11" s="74"/>
    </row>
    <row r="12">
      <c r="A12" s="73"/>
      <c r="B12" s="74"/>
      <c r="C12" s="74"/>
      <c r="D12" s="74"/>
      <c r="E12" s="74"/>
      <c r="F12" s="74"/>
      <c r="G12" s="74"/>
      <c r="H12" s="74"/>
      <c r="I12" s="74"/>
      <c r="J12" s="74"/>
      <c r="K12" s="74"/>
      <c r="L12" s="74"/>
      <c r="M12" s="74"/>
      <c r="N12" s="74"/>
      <c r="O12" s="74"/>
      <c r="P12" s="74"/>
      <c r="Q12" s="74"/>
      <c r="R12" s="74"/>
      <c r="S12" s="74"/>
      <c r="T12" s="74"/>
      <c r="U12" s="74"/>
      <c r="V12" s="74"/>
      <c r="W12" s="74"/>
      <c r="X12" s="74"/>
      <c r="Y12" s="74"/>
      <c r="Z12" s="74"/>
    </row>
    <row r="13">
      <c r="A13" s="73"/>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c r="A14" s="73"/>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c r="A15" s="73"/>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c r="A16" s="73"/>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c r="A17" s="73"/>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c r="A18" s="73"/>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c r="A19" s="73"/>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c r="A20" s="73"/>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c r="A21" s="73"/>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c r="A22" s="73"/>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c r="A23" s="73"/>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c r="A24" s="73"/>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c r="A25" s="73"/>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c r="A26" s="73"/>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c r="A27" s="73"/>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c r="A28" s="73"/>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c r="A29" s="73"/>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c r="A30" s="73"/>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c r="A31" s="73"/>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c r="A32" s="73"/>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c r="A33" s="73"/>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c r="A34" s="73"/>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c r="A35" s="73"/>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c r="A36" s="73"/>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c r="A37" s="73"/>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c r="A38" s="73"/>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c r="A39" s="73"/>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c r="A40" s="73"/>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c r="A41" s="73"/>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c r="A42" s="73"/>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c r="A43" s="73"/>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c r="A44" s="73"/>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c r="A45" s="73"/>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c r="A46" s="73"/>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c r="A48" s="73"/>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c r="A49" s="73"/>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c r="A50" s="73"/>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c r="A51" s="73"/>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c r="A52" s="73"/>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c r="A53" s="73"/>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c r="A54" s="73"/>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c r="A55" s="73"/>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c r="A56" s="73"/>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c r="A57" s="73"/>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c r="A58" s="73"/>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c r="A59" s="73"/>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c r="A60" s="73"/>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c r="A61" s="73"/>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c r="A62" s="73"/>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c r="A63" s="73"/>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c r="A64" s="73"/>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c r="A65" s="73"/>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c r="A66" s="73"/>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c r="A67" s="73"/>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c r="A68" s="73"/>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c r="A69" s="73"/>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c r="A70" s="73"/>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c r="A71" s="73"/>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c r="A72" s="73"/>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c r="A73" s="73"/>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c r="A74" s="73"/>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c r="A75" s="73"/>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c r="A76" s="73"/>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c r="A77" s="73"/>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c r="A78" s="73"/>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c r="A79" s="73"/>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c r="A80" s="73"/>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c r="A81" s="73"/>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c r="A82" s="73"/>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c r="A83" s="73"/>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c r="A84" s="73"/>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c r="A85" s="73"/>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c r="A86" s="73"/>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c r="A87" s="73"/>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c r="A88" s="73"/>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c r="A89" s="73"/>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c r="A90" s="73"/>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c r="A91" s="73"/>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c r="A92" s="73"/>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c r="A93" s="73"/>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c r="A94" s="73"/>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c r="A95" s="73"/>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c r="A96" s="73"/>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c r="A97" s="73"/>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c r="A98" s="73"/>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c r="A99" s="73"/>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c r="A100" s="73"/>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c r="A101" s="73"/>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c r="A102" s="73"/>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c r="A103" s="73"/>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c r="A104" s="73"/>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c r="A105" s="73"/>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c r="A106" s="73"/>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c r="A107" s="73"/>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c r="A108" s="73"/>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c r="A109" s="73"/>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c r="A110" s="73"/>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c r="A111" s="73"/>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c r="A112" s="73"/>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c r="A113" s="73"/>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c r="A114" s="73"/>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c r="A115" s="73"/>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c r="A116" s="73"/>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c r="A117" s="73"/>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c r="A118" s="73"/>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c r="A119" s="73"/>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c r="A120" s="73"/>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c r="A121" s="73"/>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c r="A122" s="73"/>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c r="A123" s="73"/>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c r="A124" s="73"/>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c r="A125" s="73"/>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c r="A126" s="73"/>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c r="A127" s="73"/>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c r="A128" s="73"/>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c r="A129" s="73"/>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c r="A130" s="73"/>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c r="A131" s="73"/>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c r="A132" s="73"/>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c r="A133" s="73"/>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c r="A134" s="73"/>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c r="A135" s="73"/>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c r="A136" s="73"/>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c r="A137" s="73"/>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c r="A138" s="73"/>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c r="A139" s="73"/>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c r="A140" s="73"/>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c r="A141" s="73"/>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c r="A142" s="73"/>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c r="A143" s="73"/>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c r="A144" s="73"/>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c r="A145" s="73"/>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c r="A146" s="73"/>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c r="A147" s="73"/>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c r="A148" s="73"/>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c r="A149" s="73"/>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c r="A150" s="73"/>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c r="A151" s="73"/>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c r="A152" s="73"/>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c r="A153" s="73"/>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c r="A154" s="73"/>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c r="A155" s="73"/>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c r="A156" s="73"/>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c r="A157" s="73"/>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c r="A158" s="73"/>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c r="A159" s="73"/>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c r="A160" s="73"/>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c r="A161" s="73"/>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c r="A162" s="73"/>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c r="A163" s="73"/>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c r="A164" s="73"/>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c r="A165" s="73"/>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c r="A166" s="73"/>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c r="A167" s="73"/>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c r="A168" s="73"/>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c r="A169" s="73"/>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c r="A170" s="73"/>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c r="A171" s="73"/>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c r="A172" s="73"/>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c r="A173" s="73"/>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c r="A174" s="73"/>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c r="A175" s="73"/>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c r="A176" s="73"/>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c r="A177" s="73"/>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c r="A178" s="73"/>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c r="A179" s="73"/>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c r="A180" s="73"/>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c r="A181" s="73"/>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c r="A182" s="73"/>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c r="A183" s="73"/>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c r="A184" s="73"/>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c r="A185" s="73"/>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c r="A186" s="73"/>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c r="A187" s="73"/>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c r="A188" s="73"/>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c r="A189" s="73"/>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c r="A190" s="73"/>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c r="A191" s="73"/>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c r="A192" s="73"/>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c r="A193" s="73"/>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c r="A194" s="73"/>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c r="A195" s="73"/>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c r="A196" s="73"/>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c r="A197" s="73"/>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c r="A198" s="73"/>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c r="A199" s="73"/>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c r="A200" s="73"/>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c r="A201" s="73"/>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c r="A202" s="73"/>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c r="A203" s="73"/>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c r="A204" s="73"/>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c r="A205" s="73"/>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c r="A206" s="73"/>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c r="A207" s="73"/>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c r="A208" s="73"/>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c r="A209" s="73"/>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c r="A210" s="73"/>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c r="A211" s="73"/>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c r="A212" s="73"/>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c r="A213" s="73"/>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c r="A214" s="73"/>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c r="A215" s="73"/>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c r="A216" s="73"/>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c r="A217" s="73"/>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c r="A218" s="73"/>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c r="A219" s="73"/>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c r="A220" s="73"/>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c r="A221" s="73"/>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c r="A222" s="73"/>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c r="A223" s="73"/>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c r="A224" s="73"/>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c r="A225" s="73"/>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c r="A226" s="73"/>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c r="A227" s="73"/>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c r="A228" s="73"/>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c r="A229" s="73"/>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c r="A230" s="73"/>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c r="A231" s="73"/>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c r="A232" s="73"/>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c r="A233" s="73"/>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c r="A234" s="73"/>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c r="A235" s="73"/>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c r="A236" s="73"/>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c r="A237" s="73"/>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c r="A238" s="73"/>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c r="A239" s="73"/>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c r="A240" s="73"/>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c r="A241" s="73"/>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c r="A242" s="73"/>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c r="A243" s="73"/>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c r="A244" s="73"/>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c r="A245" s="73"/>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c r="A246" s="73"/>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c r="A247" s="73"/>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c r="A248" s="73"/>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c r="A249" s="73"/>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c r="A250" s="73"/>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c r="A251" s="73"/>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c r="A252" s="73"/>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c r="A253" s="73"/>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c r="A254" s="73"/>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c r="A255" s="73"/>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c r="A256" s="73"/>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c r="A257" s="73"/>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c r="A258" s="7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c r="A259" s="73"/>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c r="A260" s="73"/>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c r="A261" s="73"/>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c r="A262" s="73"/>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c r="A263" s="73"/>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c r="A264" s="73"/>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c r="A265" s="73"/>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c r="A266" s="73"/>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c r="A267" s="73"/>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c r="A268" s="73"/>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c r="A269" s="73"/>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c r="A270" s="73"/>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c r="A271" s="73"/>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c r="A272" s="73"/>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c r="A273" s="73"/>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c r="A274" s="73"/>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c r="A275" s="73"/>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c r="A276" s="73"/>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c r="A277" s="73"/>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c r="A278" s="73"/>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c r="A279" s="73"/>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c r="A280" s="73"/>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c r="A281" s="73"/>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c r="A282" s="73"/>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c r="A283" s="73"/>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c r="A284" s="73"/>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c r="A285" s="73"/>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c r="A286" s="73"/>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c r="A287" s="73"/>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c r="A288" s="73"/>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c r="A289" s="73"/>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c r="A290" s="73"/>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c r="A291" s="73"/>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c r="A292" s="73"/>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c r="A293" s="73"/>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c r="A294" s="73"/>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c r="A295" s="73"/>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c r="A296" s="73"/>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c r="A297" s="73"/>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c r="A298" s="73"/>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c r="A299" s="73"/>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c r="A300" s="73"/>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c r="A301" s="73"/>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c r="A302" s="73"/>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c r="A303" s="73"/>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c r="A304" s="73"/>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c r="A305" s="73"/>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c r="A306" s="73"/>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c r="A307" s="73"/>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c r="A308" s="73"/>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c r="A309" s="73"/>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c r="A310" s="73"/>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c r="A311" s="73"/>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c r="A312" s="73"/>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c r="A313" s="73"/>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c r="A314" s="73"/>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c r="A315" s="73"/>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c r="A316" s="73"/>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c r="A317" s="73"/>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c r="A318" s="73"/>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c r="A319" s="73"/>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c r="A320" s="73"/>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c r="A321" s="73"/>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c r="A322" s="73"/>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c r="A323" s="73"/>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c r="A324" s="73"/>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c r="A325" s="73"/>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c r="A326" s="73"/>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c r="A327" s="73"/>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c r="A328" s="73"/>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c r="A329" s="73"/>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c r="A330" s="73"/>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c r="A331" s="73"/>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c r="A332" s="73"/>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c r="A333" s="73"/>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c r="A334" s="73"/>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c r="A335" s="73"/>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c r="A336" s="73"/>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c r="A337" s="73"/>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c r="A338" s="73"/>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c r="A339" s="73"/>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c r="A340" s="7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c r="A341" s="73"/>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c r="A342" s="73"/>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c r="A343" s="73"/>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c r="A344" s="73"/>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c r="A345" s="73"/>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c r="A346" s="73"/>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c r="A347" s="73"/>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c r="A348" s="73"/>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c r="A349" s="73"/>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c r="A350" s="73"/>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c r="A351" s="73"/>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c r="A352" s="73"/>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c r="A353" s="73"/>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c r="A354" s="73"/>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c r="A355" s="73"/>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c r="A356" s="73"/>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c r="A357" s="73"/>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c r="A358" s="73"/>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c r="A359" s="73"/>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c r="A360" s="73"/>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c r="A361" s="73"/>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c r="A362" s="73"/>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c r="A363" s="73"/>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c r="A364" s="73"/>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c r="A365" s="73"/>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c r="A366" s="73"/>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c r="A367" s="73"/>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c r="A368" s="73"/>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c r="A369" s="73"/>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c r="A370" s="73"/>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c r="A371" s="73"/>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c r="A372" s="73"/>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c r="A373" s="73"/>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c r="A374" s="73"/>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c r="A375" s="73"/>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c r="A376" s="73"/>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c r="A377" s="73"/>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c r="A378" s="73"/>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c r="A379" s="73"/>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c r="A380" s="73"/>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c r="A381" s="73"/>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c r="A382" s="73"/>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c r="A383" s="73"/>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c r="A384" s="73"/>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c r="A385" s="73"/>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c r="A386" s="73"/>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c r="A387" s="73"/>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c r="A388" s="73"/>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c r="A389" s="73"/>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c r="A390" s="73"/>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c r="A391" s="73"/>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c r="A392" s="73"/>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c r="A393" s="73"/>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c r="A394" s="73"/>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c r="A395" s="73"/>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c r="A396" s="73"/>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c r="A397" s="73"/>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c r="A398" s="73"/>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c r="A399" s="73"/>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c r="A400" s="73"/>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c r="A401" s="73"/>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c r="A402" s="73"/>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c r="A403" s="73"/>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c r="A404" s="73"/>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c r="A405" s="73"/>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c r="A406" s="73"/>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c r="A407" s="73"/>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c r="A408" s="73"/>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c r="A409" s="73"/>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c r="A410" s="73"/>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c r="A411" s="73"/>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c r="A412" s="73"/>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c r="A413" s="73"/>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c r="A414" s="73"/>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c r="A415" s="73"/>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c r="A416" s="73"/>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c r="A417" s="73"/>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c r="A418" s="73"/>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c r="A419" s="73"/>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c r="A420" s="73"/>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c r="A421" s="73"/>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c r="A422" s="73"/>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c r="A423" s="73"/>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c r="A424" s="73"/>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c r="A425" s="73"/>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c r="A426" s="73"/>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c r="A427" s="73"/>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c r="A428" s="73"/>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c r="A429" s="73"/>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c r="A430" s="73"/>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c r="A431" s="73"/>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c r="A432" s="73"/>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c r="A433" s="73"/>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c r="A434" s="73"/>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c r="A435" s="73"/>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c r="A436" s="73"/>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c r="A437" s="73"/>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c r="A438" s="73"/>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c r="A439" s="73"/>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c r="A440" s="73"/>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c r="A441" s="73"/>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c r="A442" s="73"/>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c r="A443" s="73"/>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c r="A444" s="73"/>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c r="A445" s="73"/>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c r="A446" s="73"/>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c r="A447" s="73"/>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c r="A448" s="73"/>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c r="A449" s="73"/>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c r="A450" s="73"/>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c r="A451" s="73"/>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c r="A452" s="7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c r="A453" s="73"/>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c r="A454" s="73"/>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c r="A455" s="73"/>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c r="A456" s="73"/>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c r="A457" s="73"/>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c r="A458" s="73"/>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c r="A459" s="73"/>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c r="A460" s="73"/>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c r="A461" s="73"/>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c r="A462" s="73"/>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c r="A463" s="73"/>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c r="A464" s="73"/>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c r="A465" s="73"/>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c r="A466" s="73"/>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c r="A467" s="73"/>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c r="A468" s="73"/>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c r="A469" s="73"/>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c r="A470" s="73"/>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c r="A471" s="73"/>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c r="A472" s="73"/>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c r="A473" s="73"/>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c r="A474" s="73"/>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c r="A475" s="73"/>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c r="A476" s="73"/>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c r="A477" s="73"/>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c r="A478" s="73"/>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c r="A479" s="73"/>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c r="A480" s="73"/>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c r="A481" s="73"/>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c r="A482" s="73"/>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c r="A483" s="73"/>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c r="A484" s="73"/>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c r="A485" s="73"/>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c r="A486" s="73"/>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c r="A487" s="73"/>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c r="A488" s="73"/>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c r="A489" s="73"/>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c r="A490" s="73"/>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c r="A491" s="73"/>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c r="A492" s="73"/>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c r="A493" s="73"/>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c r="A494" s="73"/>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c r="A495" s="73"/>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c r="A496" s="73"/>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c r="A497" s="73"/>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c r="A498" s="73"/>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c r="A499" s="73"/>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c r="A500" s="73"/>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c r="A501" s="73"/>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c r="A502" s="73"/>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c r="A503" s="73"/>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c r="A504" s="73"/>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c r="A505" s="73"/>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c r="A506" s="73"/>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c r="A507" s="73"/>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c r="A508" s="73"/>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c r="A509" s="73"/>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c r="A510" s="73"/>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c r="A511" s="73"/>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c r="A512" s="73"/>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c r="A513" s="73"/>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c r="A514" s="73"/>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c r="A515" s="73"/>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c r="A516" s="73"/>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c r="A517" s="73"/>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c r="A518" s="73"/>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c r="A519" s="73"/>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c r="A520" s="73"/>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c r="A521" s="73"/>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c r="A522" s="73"/>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c r="A523" s="73"/>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c r="A524" s="73"/>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c r="A525" s="73"/>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c r="A526" s="73"/>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c r="A527" s="73"/>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c r="A528" s="73"/>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c r="A529" s="73"/>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c r="A530" s="73"/>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c r="A531" s="73"/>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c r="A532" s="73"/>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c r="A533" s="73"/>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c r="A534" s="73"/>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c r="A535" s="73"/>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c r="A536" s="73"/>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c r="A537" s="73"/>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c r="A538" s="73"/>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c r="A539" s="73"/>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c r="A540" s="73"/>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c r="A541" s="73"/>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c r="A542" s="73"/>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c r="A543" s="73"/>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c r="A544" s="73"/>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c r="A545" s="73"/>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c r="A546" s="73"/>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c r="A547" s="73"/>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c r="A548" s="73"/>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c r="A549" s="73"/>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c r="A550" s="73"/>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c r="A551" s="73"/>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c r="A552" s="73"/>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c r="A553" s="73"/>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c r="A554" s="73"/>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c r="A555" s="73"/>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c r="A556" s="73"/>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c r="A557" s="7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c r="A558" s="73"/>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c r="A559" s="73"/>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c r="A560" s="73"/>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c r="A561" s="73"/>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c r="A562" s="73"/>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c r="A563" s="73"/>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c r="A564" s="73"/>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c r="A565" s="73"/>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c r="A566" s="73"/>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c r="A567" s="73"/>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c r="A568" s="73"/>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c r="A569" s="73"/>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c r="A570" s="73"/>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c r="A571" s="73"/>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c r="A572" s="73"/>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c r="A573" s="73"/>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c r="A574" s="73"/>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c r="A575" s="73"/>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c r="A576" s="73"/>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c r="A577" s="73"/>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c r="A578" s="73"/>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c r="A579" s="73"/>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c r="A580" s="73"/>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c r="A581" s="73"/>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c r="A582" s="73"/>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c r="A583" s="73"/>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c r="A584" s="73"/>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c r="A585" s="73"/>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c r="A586" s="73"/>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c r="A587" s="73"/>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c r="A588" s="73"/>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c r="A589" s="73"/>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c r="A590" s="73"/>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c r="A591" s="73"/>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c r="A592" s="73"/>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c r="A593" s="73"/>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c r="A594" s="73"/>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c r="A595" s="73"/>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c r="A596" s="73"/>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c r="A597" s="73"/>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c r="A598" s="73"/>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c r="A599" s="73"/>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c r="A600" s="73"/>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c r="A601" s="73"/>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c r="A602" s="73"/>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c r="A603" s="73"/>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c r="A604" s="73"/>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c r="A605" s="73"/>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c r="A606" s="73"/>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c r="A607" s="73"/>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c r="A608" s="73"/>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c r="A609" s="73"/>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c r="A610" s="73"/>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c r="A611" s="73"/>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c r="A612" s="73"/>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c r="A613" s="73"/>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c r="A614" s="73"/>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c r="A615" s="73"/>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c r="A616" s="73"/>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c r="A617" s="73"/>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c r="A618" s="73"/>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c r="A619" s="73"/>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c r="A620" s="73"/>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c r="A621" s="73"/>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c r="A622" s="73"/>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c r="A623" s="73"/>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c r="A624" s="73"/>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c r="A625" s="73"/>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c r="A626" s="73"/>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c r="A627" s="73"/>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c r="A628" s="73"/>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c r="A629" s="73"/>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c r="A630" s="73"/>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c r="A631" s="73"/>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c r="A632" s="73"/>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c r="A633" s="73"/>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c r="A634" s="73"/>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c r="A635" s="73"/>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c r="A636" s="73"/>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c r="A637" s="73"/>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c r="A638" s="7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c r="A639" s="73"/>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c r="A640" s="73"/>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c r="A641" s="73"/>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c r="A642" s="73"/>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c r="A643" s="73"/>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c r="A644" s="73"/>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c r="A645" s="73"/>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c r="A646" s="73"/>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c r="A647" s="73"/>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c r="A648" s="73"/>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c r="A649" s="73"/>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c r="A650" s="73"/>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c r="A651" s="73"/>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c r="A652" s="73"/>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c r="A653" s="73"/>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c r="A654" s="73"/>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c r="A655" s="73"/>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c r="A656" s="73"/>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c r="A657" s="73"/>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c r="A658" s="73"/>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c r="A659" s="73"/>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c r="A660" s="73"/>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c r="A661" s="73"/>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c r="A662" s="73"/>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c r="A663" s="73"/>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c r="A664" s="73"/>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c r="A665" s="73"/>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c r="A666" s="73"/>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c r="A667" s="73"/>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c r="A668" s="73"/>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c r="A669" s="73"/>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c r="A670" s="73"/>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c r="A671" s="73"/>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c r="A672" s="73"/>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c r="A673" s="73"/>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c r="A674" s="73"/>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c r="A675" s="73"/>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c r="A676" s="73"/>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c r="A677" s="73"/>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c r="A678" s="73"/>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c r="A679" s="73"/>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c r="A680" s="73"/>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c r="A681" s="73"/>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c r="A682" s="73"/>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c r="A683" s="73"/>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c r="A684" s="73"/>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c r="A685" s="73"/>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c r="A686" s="73"/>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c r="A687" s="73"/>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c r="A688" s="73"/>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c r="A689" s="73"/>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c r="A690" s="73"/>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c r="A691" s="73"/>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c r="A692" s="73"/>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c r="A693" s="73"/>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c r="A694" s="73"/>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c r="A695" s="73"/>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c r="A696" s="73"/>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c r="A697" s="73"/>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c r="A698" s="73"/>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c r="A699" s="73"/>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c r="A700" s="73"/>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c r="A701" s="73"/>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c r="A702" s="73"/>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c r="A703" s="73"/>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c r="A704" s="73"/>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c r="A705" s="73"/>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c r="A706" s="73"/>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c r="A707" s="73"/>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c r="A708" s="73"/>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c r="A709" s="73"/>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c r="A710" s="7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c r="A711" s="73"/>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c r="A712" s="73"/>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c r="A713" s="73"/>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c r="A714" s="73"/>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c r="A715" s="73"/>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c r="A716" s="73"/>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c r="A717" s="73"/>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c r="A718" s="73"/>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c r="A719" s="73"/>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c r="A720" s="73"/>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c r="A721" s="73"/>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c r="A722" s="73"/>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c r="A723" s="73"/>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c r="A724" s="73"/>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c r="A725" s="73"/>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c r="A726" s="73"/>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c r="A727" s="73"/>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c r="A728" s="73"/>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c r="A729" s="73"/>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c r="A730" s="73"/>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c r="A731" s="73"/>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c r="A732" s="73"/>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c r="A733" s="73"/>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c r="A734" s="73"/>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c r="A735" s="73"/>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c r="A736" s="73"/>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c r="A737" s="73"/>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c r="A738" s="73"/>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c r="A739" s="73"/>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c r="A740" s="73"/>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c r="A741" s="73"/>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c r="A742" s="73"/>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c r="A743" s="73"/>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c r="A744" s="73"/>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c r="A745" s="73"/>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c r="A746" s="73"/>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c r="A747" s="73"/>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c r="A748" s="73"/>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c r="A749" s="73"/>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c r="A750" s="73"/>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c r="A751" s="73"/>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c r="A752" s="73"/>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c r="A753" s="73"/>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c r="A754" s="73"/>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c r="A755" s="73"/>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c r="A756" s="73"/>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c r="A757" s="73"/>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c r="A758" s="73"/>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c r="A759" s="73"/>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c r="A760" s="73"/>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c r="A761" s="73"/>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c r="A762" s="73"/>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c r="A763" s="73"/>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c r="A764" s="73"/>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c r="A765" s="73"/>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c r="A766" s="73"/>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c r="A767" s="73"/>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c r="A768" s="73"/>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c r="A769" s="73"/>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c r="A770" s="73"/>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c r="A771" s="73"/>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c r="A772" s="73"/>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c r="A773" s="73"/>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c r="A774" s="73"/>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c r="A775" s="73"/>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c r="A776" s="73"/>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c r="A777" s="73"/>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c r="A778" s="73"/>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c r="A779" s="73"/>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c r="A780" s="73"/>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c r="A781" s="73"/>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c r="A782" s="73"/>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c r="A783" s="73"/>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c r="A784" s="73"/>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c r="A785" s="73"/>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c r="A786" s="73"/>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c r="A787" s="73"/>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c r="A788" s="73"/>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c r="A789" s="73"/>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c r="A790" s="73"/>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c r="A791" s="73"/>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c r="A792" s="73"/>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c r="A793" s="73"/>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c r="A794" s="73"/>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c r="A795" s="73"/>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c r="A796" s="73"/>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c r="A797" s="73"/>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c r="A798" s="73"/>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c r="A799" s="73"/>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c r="A800" s="73"/>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c r="A801" s="73"/>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c r="A802" s="73"/>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c r="A803" s="73"/>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c r="A804" s="73"/>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c r="A805" s="73"/>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c r="A806" s="73"/>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c r="A807" s="73"/>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c r="A808" s="73"/>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c r="A809" s="73"/>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c r="A810" s="73"/>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c r="A811" s="73"/>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c r="A812" s="73"/>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c r="A813" s="73"/>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c r="A814" s="73"/>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c r="A815" s="73"/>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c r="A816" s="73"/>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c r="A817" s="73"/>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c r="A818" s="73"/>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c r="A819" s="73"/>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c r="A820" s="73"/>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c r="A821" s="73"/>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c r="A822" s="73"/>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c r="A823" s="73"/>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c r="A824" s="73"/>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c r="A825" s="73"/>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c r="A826" s="73"/>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c r="A827" s="73"/>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c r="A828" s="73"/>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c r="A829" s="73"/>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c r="A830" s="73"/>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c r="A831" s="73"/>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c r="A832" s="73"/>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c r="A833" s="73"/>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c r="A834" s="73"/>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c r="A835" s="73"/>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c r="A836" s="73"/>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c r="A837" s="73"/>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c r="A838" s="73"/>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c r="A839" s="73"/>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c r="A840" s="73"/>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c r="A841" s="73"/>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c r="A842" s="73"/>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c r="A843" s="73"/>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c r="A844" s="73"/>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c r="A845" s="73"/>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c r="A846" s="73"/>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c r="A847" s="73"/>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c r="A848" s="73"/>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c r="A849" s="73"/>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c r="A850" s="73"/>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c r="A851" s="73"/>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c r="A852" s="73"/>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c r="A853" s="73"/>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c r="A854" s="73"/>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c r="A855" s="73"/>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c r="A856" s="73"/>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c r="A857" s="73"/>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c r="A858" s="73"/>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c r="A859" s="73"/>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c r="A860" s="73"/>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c r="A861" s="73"/>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c r="A862" s="73"/>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c r="A863" s="73"/>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c r="A864" s="73"/>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c r="A865" s="73"/>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c r="A866" s="73"/>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c r="A867" s="73"/>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c r="A868" s="73"/>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c r="A869" s="73"/>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c r="A870" s="73"/>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c r="A871" s="73"/>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c r="A872" s="73"/>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c r="A873" s="73"/>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c r="A874" s="73"/>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c r="A875" s="73"/>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c r="A876" s="73"/>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c r="A877" s="73"/>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c r="A878" s="73"/>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c r="A879" s="73"/>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c r="A880" s="73"/>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c r="A881" s="73"/>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c r="A882" s="73"/>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c r="A883" s="73"/>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c r="A884" s="73"/>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c r="A885" s="73"/>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c r="A886" s="7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c r="A887" s="73"/>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c r="A888" s="73"/>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c r="A889" s="73"/>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c r="A890" s="73"/>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c r="A891" s="73"/>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c r="A892" s="73"/>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c r="A893" s="73"/>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c r="A894" s="73"/>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c r="A895" s="73"/>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c r="A896" s="73"/>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c r="A897" s="73"/>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c r="A898" s="73"/>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c r="A899" s="73"/>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c r="A900" s="73"/>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c r="A901" s="73"/>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c r="A902" s="73"/>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c r="A903" s="73"/>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c r="A904" s="73"/>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c r="A905" s="73"/>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c r="A906" s="73"/>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c r="A907" s="73"/>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c r="A908" s="73"/>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c r="A909" s="73"/>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c r="A910" s="73"/>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c r="A911" s="73"/>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c r="A912" s="73"/>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c r="A913" s="73"/>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c r="A914" s="73"/>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c r="A915" s="73"/>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c r="A916" s="73"/>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c r="A917" s="73"/>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c r="A918" s="73"/>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c r="A919" s="73"/>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c r="A920" s="73"/>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c r="A921" s="73"/>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c r="A922" s="73"/>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c r="A923" s="73"/>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c r="A924" s="73"/>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c r="A925" s="73"/>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c r="A926" s="73"/>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c r="A927" s="73"/>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c r="A928" s="73"/>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c r="A929" s="73"/>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c r="A930" s="73"/>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c r="A931" s="73"/>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c r="A932" s="73"/>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c r="A933" s="73"/>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c r="A934" s="73"/>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c r="A935" s="73"/>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c r="A936" s="73"/>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c r="A937" s="73"/>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c r="A938" s="73"/>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c r="A939" s="73"/>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c r="A940" s="73"/>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c r="A941" s="73"/>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c r="A942" s="73"/>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c r="A943" s="73"/>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c r="A944" s="73"/>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c r="A945" s="73"/>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c r="A946" s="73"/>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c r="A947" s="73"/>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c r="A948" s="73"/>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c r="A949" s="73"/>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c r="A950" s="73"/>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c r="A951" s="73"/>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c r="A952" s="73"/>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c r="A953" s="73"/>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c r="A954" s="73"/>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c r="A955" s="73"/>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c r="A956" s="73"/>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c r="A957" s="73"/>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c r="A958" s="73"/>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c r="A959" s="73"/>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c r="A960" s="73"/>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c r="A961" s="73"/>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c r="A962" s="73"/>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c r="A963" s="73"/>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c r="A964" s="73"/>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c r="A965" s="73"/>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c r="A966" s="73"/>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c r="A967" s="73"/>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c r="A968" s="73"/>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c r="A969" s="7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c r="A970" s="73"/>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c r="A971" s="73"/>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c r="A972" s="73"/>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c r="A973" s="73"/>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c r="A974" s="73"/>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c r="A975" s="73"/>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c r="A976" s="73"/>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c r="A977" s="73"/>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c r="A978" s="73"/>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c r="A979" s="73"/>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c r="A980" s="73"/>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c r="A981" s="73"/>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c r="A982" s="73"/>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c r="A983" s="73"/>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c r="A984" s="73"/>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c r="A985" s="73"/>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c r="A986" s="73"/>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c r="A987" s="73"/>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c r="A988" s="73"/>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c r="A989" s="73"/>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c r="A990" s="73"/>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c r="A991" s="73"/>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c r="A992" s="73"/>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c r="A993" s="73"/>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c r="A994" s="73"/>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c r="A995" s="73"/>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c r="A996" s="73"/>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c r="A997" s="73"/>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c r="A998" s="73"/>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sheetData>
  <dataValidations>
    <dataValidation type="list" allowBlank="1" showErrorMessage="1" sqref="I3:J11">
      <formula1>"High,Medium,Low,N/A,Critical"</formula1>
    </dataValidation>
    <dataValidation type="list" allowBlank="1" showErrorMessage="1" sqref="H3:H11">
      <formula1>"Pass,Fail,Not Tested,Fixed"</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25.38"/>
    <col customWidth="1" min="3" max="3" width="28.88"/>
    <col customWidth="1" min="4" max="4" width="15.5"/>
    <col customWidth="1" min="5" max="5" width="29.38"/>
    <col customWidth="1" min="6" max="6" width="32.13"/>
    <col customWidth="1" min="7" max="7" width="34.25"/>
    <col customWidth="1" min="8" max="8" width="30.38"/>
    <col customWidth="1" min="9" max="9" width="36.25"/>
    <col customWidth="1" min="10" max="10" width="45.38"/>
    <col customWidth="1" min="11" max="11" width="18.13"/>
    <col customWidth="1" min="12" max="12" width="17.13"/>
    <col customWidth="1" min="13" max="13" width="16.13"/>
    <col customWidth="1" min="14" max="14" width="23.38"/>
    <col customWidth="1" min="15" max="15" width="26.25"/>
  </cols>
  <sheetData>
    <row r="1">
      <c r="A1" s="2" t="s">
        <v>0</v>
      </c>
      <c r="B1" s="2" t="s">
        <v>13</v>
      </c>
      <c r="C1" s="59"/>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c r="A3" s="43"/>
      <c r="B3" s="44" t="s">
        <v>1294</v>
      </c>
      <c r="C3" s="23"/>
      <c r="D3" s="23"/>
      <c r="E3" s="23"/>
      <c r="F3" s="23"/>
      <c r="G3" s="23"/>
      <c r="H3" s="23"/>
      <c r="I3" s="23"/>
      <c r="J3" s="24"/>
      <c r="K3" s="44"/>
      <c r="L3" s="23"/>
      <c r="M3" s="23"/>
      <c r="N3" s="23"/>
      <c r="O3" s="24"/>
      <c r="P3" s="79"/>
      <c r="Q3" s="79"/>
      <c r="R3" s="79"/>
      <c r="S3" s="79"/>
      <c r="T3" s="79"/>
      <c r="U3" s="79"/>
      <c r="V3" s="79"/>
      <c r="W3" s="79"/>
      <c r="X3" s="79"/>
      <c r="Y3" s="79"/>
      <c r="Z3" s="79"/>
    </row>
    <row r="4">
      <c r="A4" s="38" t="s">
        <v>1295</v>
      </c>
      <c r="B4" s="38" t="s">
        <v>42</v>
      </c>
      <c r="C4" s="39" t="s">
        <v>1296</v>
      </c>
      <c r="D4" s="8" t="s">
        <v>84</v>
      </c>
      <c r="E4" s="8" t="s">
        <v>1297</v>
      </c>
      <c r="F4" s="39" t="s">
        <v>221</v>
      </c>
      <c r="G4" s="39" t="s">
        <v>487</v>
      </c>
      <c r="H4" s="39" t="s">
        <v>1298</v>
      </c>
      <c r="I4" s="39" t="s">
        <v>1299</v>
      </c>
      <c r="J4" s="39" t="s">
        <v>1300</v>
      </c>
      <c r="K4" s="38" t="s">
        <v>91</v>
      </c>
      <c r="L4" s="8" t="s">
        <v>92</v>
      </c>
      <c r="M4" s="8" t="s">
        <v>92</v>
      </c>
      <c r="N4" s="42"/>
      <c r="O4" s="39" t="s">
        <v>1301</v>
      </c>
    </row>
    <row r="5">
      <c r="A5" s="38" t="s">
        <v>1302</v>
      </c>
      <c r="B5" s="38" t="s">
        <v>42</v>
      </c>
      <c r="C5" s="39" t="s">
        <v>1303</v>
      </c>
      <c r="D5" s="8" t="s">
        <v>84</v>
      </c>
      <c r="E5" s="8" t="s">
        <v>1297</v>
      </c>
      <c r="F5" s="39" t="s">
        <v>221</v>
      </c>
      <c r="G5" s="39" t="s">
        <v>1304</v>
      </c>
      <c r="H5" s="39" t="s">
        <v>1305</v>
      </c>
      <c r="I5" s="39" t="s">
        <v>141</v>
      </c>
      <c r="J5" s="39" t="s">
        <v>1192</v>
      </c>
      <c r="K5" s="38" t="s">
        <v>91</v>
      </c>
      <c r="L5" s="8" t="s">
        <v>92</v>
      </c>
      <c r="M5" s="8" t="s">
        <v>92</v>
      </c>
      <c r="N5" s="42"/>
      <c r="O5" s="39" t="s">
        <v>1306</v>
      </c>
    </row>
    <row r="6">
      <c r="A6" s="38" t="s">
        <v>1307</v>
      </c>
      <c r="B6" s="38" t="s">
        <v>42</v>
      </c>
      <c r="C6" s="39" t="s">
        <v>1308</v>
      </c>
      <c r="D6" s="8" t="s">
        <v>84</v>
      </c>
      <c r="E6" s="8" t="s">
        <v>1297</v>
      </c>
      <c r="F6" s="39" t="s">
        <v>221</v>
      </c>
      <c r="G6" s="39" t="s">
        <v>233</v>
      </c>
      <c r="H6" s="39" t="s">
        <v>1309</v>
      </c>
      <c r="I6" s="39" t="s">
        <v>1310</v>
      </c>
      <c r="J6" s="39" t="s">
        <v>144</v>
      </c>
      <c r="K6" s="38" t="s">
        <v>172</v>
      </c>
      <c r="L6" s="8" t="s">
        <v>92</v>
      </c>
      <c r="M6" s="8" t="s">
        <v>92</v>
      </c>
      <c r="N6" s="42"/>
      <c r="O6" s="39" t="s">
        <v>1311</v>
      </c>
    </row>
    <row r="7">
      <c r="A7" s="38" t="s">
        <v>1312</v>
      </c>
      <c r="B7" s="38" t="s">
        <v>42</v>
      </c>
      <c r="C7" s="39" t="s">
        <v>218</v>
      </c>
      <c r="D7" s="8" t="s">
        <v>219</v>
      </c>
      <c r="E7" s="8" t="s">
        <v>1297</v>
      </c>
      <c r="F7" s="39" t="s">
        <v>221</v>
      </c>
      <c r="G7" s="39" t="s">
        <v>487</v>
      </c>
      <c r="H7" s="39" t="s">
        <v>223</v>
      </c>
      <c r="I7" s="39" t="s">
        <v>1313</v>
      </c>
      <c r="J7" s="50" t="s">
        <v>1157</v>
      </c>
      <c r="K7" s="8" t="s">
        <v>802</v>
      </c>
      <c r="L7" s="8" t="s">
        <v>105</v>
      </c>
      <c r="M7" s="8" t="s">
        <v>105</v>
      </c>
      <c r="N7" s="42"/>
      <c r="O7" s="39" t="s">
        <v>1314</v>
      </c>
    </row>
    <row r="8">
      <c r="A8" s="38" t="s">
        <v>1315</v>
      </c>
      <c r="B8" s="38" t="s">
        <v>42</v>
      </c>
      <c r="C8" s="39" t="s">
        <v>1316</v>
      </c>
      <c r="D8" s="8" t="s">
        <v>84</v>
      </c>
      <c r="E8" s="8" t="s">
        <v>1297</v>
      </c>
      <c r="F8" s="39" t="s">
        <v>221</v>
      </c>
      <c r="G8" s="39" t="s">
        <v>487</v>
      </c>
      <c r="H8" s="39" t="s">
        <v>88</v>
      </c>
      <c r="I8" s="39" t="s">
        <v>1317</v>
      </c>
      <c r="J8" s="39" t="s">
        <v>1063</v>
      </c>
      <c r="K8" s="38" t="s">
        <v>91</v>
      </c>
      <c r="L8" s="8" t="s">
        <v>427</v>
      </c>
      <c r="M8" s="8" t="s">
        <v>92</v>
      </c>
      <c r="N8" s="42"/>
      <c r="O8" s="39" t="s">
        <v>1318</v>
      </c>
    </row>
    <row r="9">
      <c r="A9" s="38" t="s">
        <v>1319</v>
      </c>
      <c r="B9" s="38" t="s">
        <v>42</v>
      </c>
      <c r="C9" s="39" t="s">
        <v>1320</v>
      </c>
      <c r="D9" s="8" t="s">
        <v>84</v>
      </c>
      <c r="E9" s="8" t="s">
        <v>1297</v>
      </c>
      <c r="F9" s="39" t="s">
        <v>221</v>
      </c>
      <c r="G9" s="39" t="s">
        <v>487</v>
      </c>
      <c r="H9" s="39" t="s">
        <v>88</v>
      </c>
      <c r="I9" s="39" t="s">
        <v>1321</v>
      </c>
      <c r="J9" s="39"/>
      <c r="K9" s="38" t="s">
        <v>172</v>
      </c>
      <c r="L9" s="8" t="s">
        <v>105</v>
      </c>
      <c r="M9" s="8" t="s">
        <v>92</v>
      </c>
      <c r="N9" s="42"/>
      <c r="O9" s="39" t="s">
        <v>107</v>
      </c>
    </row>
    <row r="10">
      <c r="A10" s="38" t="s">
        <v>1322</v>
      </c>
      <c r="B10" s="38" t="s">
        <v>42</v>
      </c>
      <c r="C10" s="39" t="s">
        <v>1323</v>
      </c>
      <c r="D10" s="8" t="s">
        <v>84</v>
      </c>
      <c r="E10" s="8" t="s">
        <v>1297</v>
      </c>
      <c r="F10" s="39" t="s">
        <v>221</v>
      </c>
      <c r="G10" s="39" t="s">
        <v>487</v>
      </c>
      <c r="H10" s="39" t="s">
        <v>88</v>
      </c>
      <c r="I10" s="39" t="s">
        <v>1324</v>
      </c>
      <c r="J10" s="42"/>
      <c r="K10" s="38" t="s">
        <v>172</v>
      </c>
      <c r="L10" s="8" t="s">
        <v>105</v>
      </c>
      <c r="M10" s="8" t="s">
        <v>105</v>
      </c>
      <c r="N10" s="42"/>
      <c r="O10" s="39" t="s">
        <v>1325</v>
      </c>
    </row>
    <row r="11">
      <c r="A11" s="38" t="s">
        <v>1326</v>
      </c>
      <c r="B11" s="38" t="s">
        <v>42</v>
      </c>
      <c r="C11" s="39" t="s">
        <v>1327</v>
      </c>
      <c r="D11" s="8" t="s">
        <v>84</v>
      </c>
      <c r="E11" s="8" t="s">
        <v>1297</v>
      </c>
      <c r="F11" s="39" t="s">
        <v>221</v>
      </c>
      <c r="G11" s="39" t="s">
        <v>487</v>
      </c>
      <c r="H11" s="39" t="s">
        <v>88</v>
      </c>
      <c r="I11" s="39" t="s">
        <v>1328</v>
      </c>
      <c r="J11" s="42"/>
      <c r="K11" s="38" t="s">
        <v>172</v>
      </c>
      <c r="L11" s="8" t="s">
        <v>105</v>
      </c>
      <c r="M11" s="8" t="s">
        <v>105</v>
      </c>
      <c r="N11" s="42"/>
      <c r="O11" s="39" t="s">
        <v>107</v>
      </c>
    </row>
    <row r="12">
      <c r="A12" s="38" t="s">
        <v>1329</v>
      </c>
      <c r="B12" s="38" t="s">
        <v>42</v>
      </c>
      <c r="C12" s="39" t="s">
        <v>179</v>
      </c>
      <c r="D12" s="8" t="s">
        <v>84</v>
      </c>
      <c r="E12" s="8" t="s">
        <v>1297</v>
      </c>
      <c r="F12" s="39" t="s">
        <v>221</v>
      </c>
      <c r="G12" s="39" t="s">
        <v>487</v>
      </c>
      <c r="H12" s="39" t="s">
        <v>88</v>
      </c>
      <c r="I12" s="39" t="s">
        <v>1330</v>
      </c>
      <c r="J12" s="39"/>
      <c r="K12" s="38" t="s">
        <v>172</v>
      </c>
      <c r="L12" s="8" t="s">
        <v>105</v>
      </c>
      <c r="M12" s="8" t="s">
        <v>105</v>
      </c>
      <c r="N12" s="42"/>
      <c r="O12" s="39" t="s">
        <v>1331</v>
      </c>
    </row>
    <row r="13">
      <c r="A13" s="38" t="s">
        <v>1332</v>
      </c>
      <c r="B13" s="38" t="s">
        <v>42</v>
      </c>
      <c r="C13" s="39" t="s">
        <v>1333</v>
      </c>
      <c r="D13" s="8" t="s">
        <v>84</v>
      </c>
      <c r="E13" s="8" t="s">
        <v>1297</v>
      </c>
      <c r="F13" s="39" t="s">
        <v>221</v>
      </c>
      <c r="G13" s="39" t="s">
        <v>487</v>
      </c>
      <c r="H13" s="39" t="s">
        <v>1334</v>
      </c>
      <c r="I13" s="39" t="s">
        <v>1335</v>
      </c>
      <c r="J13" s="39"/>
      <c r="K13" s="38" t="s">
        <v>172</v>
      </c>
      <c r="L13" s="8" t="s">
        <v>105</v>
      </c>
      <c r="M13" s="8" t="s">
        <v>105</v>
      </c>
      <c r="N13" s="42"/>
      <c r="O13" s="39" t="s">
        <v>1336</v>
      </c>
    </row>
    <row r="14">
      <c r="A14" s="38" t="s">
        <v>1337</v>
      </c>
      <c r="B14" s="38" t="s">
        <v>42</v>
      </c>
      <c r="C14" s="39" t="s">
        <v>242</v>
      </c>
      <c r="D14" s="8" t="s">
        <v>84</v>
      </c>
      <c r="E14" s="8" t="s">
        <v>1297</v>
      </c>
      <c r="F14" s="39" t="s">
        <v>221</v>
      </c>
      <c r="G14" s="39" t="s">
        <v>487</v>
      </c>
      <c r="H14" s="39" t="s">
        <v>1338</v>
      </c>
      <c r="I14" s="39" t="s">
        <v>141</v>
      </c>
      <c r="J14" s="39"/>
      <c r="K14" s="38" t="s">
        <v>172</v>
      </c>
      <c r="L14" s="8" t="s">
        <v>92</v>
      </c>
      <c r="M14" s="8" t="s">
        <v>92</v>
      </c>
      <c r="N14" s="42"/>
      <c r="O14" s="39" t="s">
        <v>151</v>
      </c>
    </row>
    <row r="15">
      <c r="A15" s="38" t="s">
        <v>1339</v>
      </c>
      <c r="B15" s="38" t="s">
        <v>42</v>
      </c>
      <c r="C15" s="39" t="s">
        <v>1340</v>
      </c>
      <c r="D15" s="8" t="s">
        <v>84</v>
      </c>
      <c r="E15" s="8" t="s">
        <v>1297</v>
      </c>
      <c r="F15" s="39" t="s">
        <v>221</v>
      </c>
      <c r="G15" s="39" t="s">
        <v>487</v>
      </c>
      <c r="H15" s="39" t="s">
        <v>88</v>
      </c>
      <c r="I15" s="39" t="s">
        <v>1341</v>
      </c>
      <c r="J15" s="42"/>
      <c r="K15" s="38" t="s">
        <v>172</v>
      </c>
      <c r="L15" s="8" t="s">
        <v>92</v>
      </c>
      <c r="M15" s="8" t="s">
        <v>105</v>
      </c>
      <c r="N15" s="42"/>
      <c r="O15" s="39" t="s">
        <v>1342</v>
      </c>
    </row>
    <row r="16">
      <c r="A16" s="38" t="s">
        <v>1343</v>
      </c>
      <c r="B16" s="38" t="s">
        <v>42</v>
      </c>
      <c r="C16" s="39" t="s">
        <v>1344</v>
      </c>
      <c r="D16" s="8" t="s">
        <v>84</v>
      </c>
      <c r="E16" s="8" t="s">
        <v>1297</v>
      </c>
      <c r="F16" s="39" t="s">
        <v>1345</v>
      </c>
      <c r="G16" s="39" t="s">
        <v>487</v>
      </c>
      <c r="H16" s="39" t="s">
        <v>1346</v>
      </c>
      <c r="I16" s="39" t="s">
        <v>556</v>
      </c>
      <c r="J16" s="42"/>
      <c r="K16" s="38" t="s">
        <v>172</v>
      </c>
      <c r="L16" s="8" t="s">
        <v>105</v>
      </c>
      <c r="M16" s="8" t="s">
        <v>92</v>
      </c>
      <c r="N16" s="42"/>
      <c r="O16" s="39" t="s">
        <v>1347</v>
      </c>
    </row>
    <row r="17">
      <c r="A17" s="38" t="s">
        <v>1348</v>
      </c>
      <c r="B17" s="38" t="s">
        <v>42</v>
      </c>
      <c r="C17" s="39" t="s">
        <v>1349</v>
      </c>
      <c r="D17" s="8" t="s">
        <v>84</v>
      </c>
      <c r="E17" s="8" t="s">
        <v>1297</v>
      </c>
      <c r="F17" s="39" t="s">
        <v>221</v>
      </c>
      <c r="G17" s="39" t="s">
        <v>487</v>
      </c>
      <c r="H17" s="39" t="s">
        <v>88</v>
      </c>
      <c r="I17" s="39" t="s">
        <v>1350</v>
      </c>
      <c r="J17" s="42"/>
      <c r="K17" s="38" t="s">
        <v>172</v>
      </c>
      <c r="L17" s="8" t="s">
        <v>105</v>
      </c>
      <c r="M17" s="8" t="s">
        <v>105</v>
      </c>
      <c r="N17" s="42"/>
      <c r="O17" s="39" t="s">
        <v>100</v>
      </c>
    </row>
    <row r="18">
      <c r="A18" s="38" t="s">
        <v>1351</v>
      </c>
      <c r="B18" s="38" t="s">
        <v>42</v>
      </c>
      <c r="C18" s="39" t="s">
        <v>1352</v>
      </c>
      <c r="D18" s="8" t="s">
        <v>84</v>
      </c>
      <c r="E18" s="8" t="s">
        <v>1297</v>
      </c>
      <c r="F18" s="39" t="s">
        <v>221</v>
      </c>
      <c r="G18" s="39" t="s">
        <v>487</v>
      </c>
      <c r="H18" s="39" t="s">
        <v>88</v>
      </c>
      <c r="I18" s="39" t="s">
        <v>1353</v>
      </c>
      <c r="J18" s="42"/>
      <c r="K18" s="38" t="s">
        <v>172</v>
      </c>
      <c r="L18" s="8" t="s">
        <v>105</v>
      </c>
      <c r="M18" s="8" t="s">
        <v>105</v>
      </c>
      <c r="N18" s="42"/>
      <c r="O18" s="39" t="s">
        <v>107</v>
      </c>
    </row>
    <row r="19">
      <c r="A19" s="38" t="s">
        <v>1354</v>
      </c>
      <c r="B19" s="38" t="s">
        <v>42</v>
      </c>
      <c r="C19" s="39" t="s">
        <v>1355</v>
      </c>
      <c r="D19" s="8" t="s">
        <v>84</v>
      </c>
      <c r="E19" s="8" t="s">
        <v>1297</v>
      </c>
      <c r="F19" s="39" t="s">
        <v>221</v>
      </c>
      <c r="G19" s="39" t="s">
        <v>1356</v>
      </c>
      <c r="H19" s="39" t="s">
        <v>1357</v>
      </c>
      <c r="I19" s="39" t="s">
        <v>578</v>
      </c>
      <c r="J19" s="42"/>
      <c r="K19" s="38" t="s">
        <v>172</v>
      </c>
      <c r="L19" s="8" t="s">
        <v>92</v>
      </c>
      <c r="M19" s="8" t="s">
        <v>92</v>
      </c>
      <c r="N19" s="42"/>
      <c r="O19" s="39" t="s">
        <v>1358</v>
      </c>
    </row>
    <row r="20">
      <c r="A20" s="38" t="s">
        <v>1359</v>
      </c>
      <c r="B20" s="38" t="s">
        <v>42</v>
      </c>
      <c r="C20" s="39" t="s">
        <v>1360</v>
      </c>
      <c r="D20" s="8" t="s">
        <v>84</v>
      </c>
      <c r="E20" s="8" t="s">
        <v>1297</v>
      </c>
      <c r="F20" s="39" t="s">
        <v>221</v>
      </c>
      <c r="G20" s="39" t="s">
        <v>487</v>
      </c>
      <c r="H20" s="39" t="s">
        <v>88</v>
      </c>
      <c r="I20" s="39" t="s">
        <v>1361</v>
      </c>
      <c r="J20" s="42"/>
      <c r="K20" s="38" t="s">
        <v>172</v>
      </c>
      <c r="L20" s="8" t="s">
        <v>105</v>
      </c>
      <c r="M20" s="8" t="s">
        <v>105</v>
      </c>
      <c r="N20" s="42"/>
      <c r="O20" s="39" t="s">
        <v>1362</v>
      </c>
    </row>
    <row r="21">
      <c r="A21" s="38" t="s">
        <v>1363</v>
      </c>
      <c r="B21" s="38" t="s">
        <v>42</v>
      </c>
      <c r="C21" s="39" t="s">
        <v>1364</v>
      </c>
      <c r="D21" s="8" t="s">
        <v>84</v>
      </c>
      <c r="E21" s="8" t="s">
        <v>1297</v>
      </c>
      <c r="F21" s="39" t="s">
        <v>221</v>
      </c>
      <c r="G21" s="39" t="s">
        <v>487</v>
      </c>
      <c r="H21" s="39" t="s">
        <v>88</v>
      </c>
      <c r="I21" s="39" t="s">
        <v>1365</v>
      </c>
      <c r="J21" s="42"/>
      <c r="K21" s="38" t="s">
        <v>172</v>
      </c>
      <c r="L21" s="8" t="s">
        <v>105</v>
      </c>
      <c r="M21" s="8" t="s">
        <v>92</v>
      </c>
      <c r="N21" s="42"/>
      <c r="O21" s="39" t="s">
        <v>1366</v>
      </c>
    </row>
    <row r="22">
      <c r="A22" s="38" t="s">
        <v>1367</v>
      </c>
      <c r="B22" s="38" t="s">
        <v>42</v>
      </c>
      <c r="C22" s="39" t="s">
        <v>1368</v>
      </c>
      <c r="D22" s="8" t="s">
        <v>84</v>
      </c>
      <c r="E22" s="8" t="s">
        <v>1297</v>
      </c>
      <c r="F22" s="39" t="s">
        <v>221</v>
      </c>
      <c r="G22" s="39" t="s">
        <v>487</v>
      </c>
      <c r="H22" s="39" t="s">
        <v>88</v>
      </c>
      <c r="I22" s="39" t="s">
        <v>1369</v>
      </c>
      <c r="J22" s="42"/>
      <c r="K22" s="38" t="s">
        <v>172</v>
      </c>
      <c r="L22" s="8" t="s">
        <v>105</v>
      </c>
      <c r="M22" s="8" t="s">
        <v>105</v>
      </c>
      <c r="N22" s="42"/>
      <c r="O22" s="39" t="s">
        <v>107</v>
      </c>
    </row>
    <row r="23">
      <c r="A23" s="38" t="s">
        <v>1370</v>
      </c>
      <c r="B23" s="38" t="s">
        <v>42</v>
      </c>
      <c r="C23" s="39" t="s">
        <v>1371</v>
      </c>
      <c r="D23" s="8" t="s">
        <v>84</v>
      </c>
      <c r="E23" s="8" t="s">
        <v>1297</v>
      </c>
      <c r="F23" s="39" t="s">
        <v>221</v>
      </c>
      <c r="G23" s="39" t="s">
        <v>487</v>
      </c>
      <c r="H23" s="39" t="s">
        <v>1372</v>
      </c>
      <c r="I23" s="39" t="s">
        <v>1373</v>
      </c>
      <c r="J23" s="42"/>
      <c r="K23" s="38" t="s">
        <v>172</v>
      </c>
      <c r="L23" s="8" t="s">
        <v>105</v>
      </c>
      <c r="M23" s="8" t="s">
        <v>105</v>
      </c>
      <c r="N23" s="42"/>
      <c r="O23" s="39" t="s">
        <v>1374</v>
      </c>
    </row>
    <row r="24">
      <c r="A24" s="38" t="s">
        <v>1375</v>
      </c>
      <c r="B24" s="38" t="s">
        <v>42</v>
      </c>
      <c r="C24" s="39" t="s">
        <v>1376</v>
      </c>
      <c r="D24" s="8" t="s">
        <v>84</v>
      </c>
      <c r="E24" s="8" t="s">
        <v>1297</v>
      </c>
      <c r="F24" s="39" t="s">
        <v>221</v>
      </c>
      <c r="G24" s="39" t="s">
        <v>487</v>
      </c>
      <c r="H24" s="39" t="s">
        <v>88</v>
      </c>
      <c r="I24" s="39" t="s">
        <v>1377</v>
      </c>
      <c r="J24" s="42"/>
      <c r="K24" s="38" t="s">
        <v>172</v>
      </c>
      <c r="L24" s="8" t="s">
        <v>105</v>
      </c>
      <c r="M24" s="8" t="s">
        <v>105</v>
      </c>
      <c r="N24" s="42"/>
      <c r="O24" s="39" t="s">
        <v>107</v>
      </c>
    </row>
    <row r="25">
      <c r="A25" s="38" t="s">
        <v>1378</v>
      </c>
      <c r="B25" s="38" t="s">
        <v>42</v>
      </c>
      <c r="C25" s="39" t="s">
        <v>1379</v>
      </c>
      <c r="D25" s="8" t="s">
        <v>84</v>
      </c>
      <c r="E25" s="8" t="s">
        <v>1297</v>
      </c>
      <c r="F25" s="39" t="s">
        <v>221</v>
      </c>
      <c r="G25" s="39" t="s">
        <v>487</v>
      </c>
      <c r="H25" s="39" t="s">
        <v>88</v>
      </c>
      <c r="I25" s="39" t="s">
        <v>1380</v>
      </c>
      <c r="J25" s="42"/>
      <c r="K25" s="38" t="s">
        <v>172</v>
      </c>
      <c r="L25" s="8" t="s">
        <v>105</v>
      </c>
      <c r="M25" s="8" t="s">
        <v>105</v>
      </c>
      <c r="N25" s="42"/>
      <c r="O25" s="39" t="s">
        <v>107</v>
      </c>
    </row>
    <row r="26">
      <c r="A26" s="38" t="s">
        <v>1381</v>
      </c>
      <c r="B26" s="38" t="s">
        <v>42</v>
      </c>
      <c r="C26" s="39" t="s">
        <v>1382</v>
      </c>
      <c r="D26" s="8" t="s">
        <v>84</v>
      </c>
      <c r="E26" s="8" t="s">
        <v>1297</v>
      </c>
      <c r="F26" s="39" t="s">
        <v>221</v>
      </c>
      <c r="G26" s="39" t="s">
        <v>487</v>
      </c>
      <c r="H26" s="39" t="s">
        <v>88</v>
      </c>
      <c r="I26" s="39" t="s">
        <v>1383</v>
      </c>
      <c r="J26" s="42"/>
      <c r="K26" s="38" t="s">
        <v>172</v>
      </c>
      <c r="L26" s="8" t="s">
        <v>105</v>
      </c>
      <c r="M26" s="8" t="s">
        <v>105</v>
      </c>
      <c r="N26" s="42"/>
      <c r="O26" s="39" t="s">
        <v>1384</v>
      </c>
    </row>
    <row r="27">
      <c r="A27" s="48"/>
      <c r="B27" s="44" t="s">
        <v>1385</v>
      </c>
      <c r="C27" s="23"/>
      <c r="D27" s="23"/>
      <c r="E27" s="23"/>
      <c r="F27" s="23"/>
      <c r="G27" s="23"/>
      <c r="H27" s="23"/>
      <c r="I27" s="23"/>
      <c r="J27" s="24"/>
      <c r="K27" s="49"/>
      <c r="L27" s="23"/>
      <c r="M27" s="23"/>
      <c r="N27" s="23"/>
      <c r="O27" s="24"/>
      <c r="P27" s="80"/>
      <c r="Q27" s="80"/>
      <c r="R27" s="80"/>
      <c r="S27" s="80"/>
      <c r="T27" s="80"/>
      <c r="U27" s="80"/>
      <c r="V27" s="80"/>
      <c r="W27" s="80"/>
      <c r="X27" s="80"/>
      <c r="Y27" s="80"/>
      <c r="Z27" s="80"/>
    </row>
    <row r="28">
      <c r="A28" s="38" t="s">
        <v>1386</v>
      </c>
      <c r="B28" s="38" t="s">
        <v>42</v>
      </c>
      <c r="C28" s="39" t="s">
        <v>1387</v>
      </c>
      <c r="D28" s="8" t="s">
        <v>1388</v>
      </c>
      <c r="E28" s="8" t="s">
        <v>1389</v>
      </c>
      <c r="F28" s="39" t="s">
        <v>1390</v>
      </c>
      <c r="G28" s="39" t="s">
        <v>87</v>
      </c>
      <c r="H28" s="39" t="s">
        <v>1391</v>
      </c>
      <c r="I28" s="39" t="s">
        <v>1392</v>
      </c>
      <c r="J28" s="39" t="s">
        <v>1393</v>
      </c>
      <c r="K28" s="38" t="s">
        <v>91</v>
      </c>
      <c r="L28" s="8" t="s">
        <v>427</v>
      </c>
      <c r="M28" s="8" t="s">
        <v>92</v>
      </c>
      <c r="N28" s="42"/>
      <c r="O28" s="39" t="s">
        <v>93</v>
      </c>
    </row>
    <row r="29">
      <c r="A29" s="38" t="s">
        <v>1394</v>
      </c>
      <c r="B29" s="38" t="s">
        <v>42</v>
      </c>
      <c r="C29" s="39" t="s">
        <v>1395</v>
      </c>
      <c r="D29" s="8" t="s">
        <v>219</v>
      </c>
      <c r="E29" s="8" t="s">
        <v>1396</v>
      </c>
      <c r="F29" s="39" t="s">
        <v>1397</v>
      </c>
      <c r="G29" s="39" t="s">
        <v>1398</v>
      </c>
      <c r="H29" s="39" t="s">
        <v>1399</v>
      </c>
      <c r="I29" s="39" t="s">
        <v>1400</v>
      </c>
      <c r="J29" s="39" t="s">
        <v>1401</v>
      </c>
      <c r="K29" s="38" t="s">
        <v>91</v>
      </c>
      <c r="L29" s="8" t="s">
        <v>427</v>
      </c>
      <c r="M29" s="8" t="s">
        <v>92</v>
      </c>
      <c r="N29" s="42"/>
      <c r="O29" s="39" t="s">
        <v>496</v>
      </c>
    </row>
    <row r="30">
      <c r="A30" s="38" t="s">
        <v>1402</v>
      </c>
      <c r="B30" s="38" t="s">
        <v>42</v>
      </c>
      <c r="C30" s="39" t="s">
        <v>1403</v>
      </c>
      <c r="D30" s="8" t="s">
        <v>219</v>
      </c>
      <c r="E30" s="8" t="s">
        <v>1396</v>
      </c>
      <c r="F30" s="39" t="s">
        <v>1404</v>
      </c>
      <c r="G30" s="39" t="s">
        <v>1398</v>
      </c>
      <c r="H30" s="39" t="s">
        <v>1405</v>
      </c>
      <c r="I30" s="39" t="s">
        <v>1406</v>
      </c>
      <c r="J30" s="39" t="s">
        <v>1407</v>
      </c>
      <c r="K30" s="38" t="s">
        <v>91</v>
      </c>
      <c r="L30" s="8" t="s">
        <v>427</v>
      </c>
      <c r="M30" s="8" t="s">
        <v>92</v>
      </c>
      <c r="N30" s="42"/>
      <c r="O30" s="39" t="s">
        <v>787</v>
      </c>
    </row>
    <row r="31">
      <c r="A31" s="38" t="s">
        <v>1408</v>
      </c>
      <c r="B31" s="38" t="s">
        <v>42</v>
      </c>
      <c r="C31" s="39" t="s">
        <v>1409</v>
      </c>
      <c r="D31" s="8" t="s">
        <v>1388</v>
      </c>
      <c r="E31" s="8" t="s">
        <v>1389</v>
      </c>
      <c r="F31" s="39" t="s">
        <v>1410</v>
      </c>
      <c r="G31" s="39" t="s">
        <v>87</v>
      </c>
      <c r="H31" s="39" t="s">
        <v>97</v>
      </c>
      <c r="I31" s="39" t="s">
        <v>1411</v>
      </c>
      <c r="J31" s="39" t="s">
        <v>1412</v>
      </c>
      <c r="K31" s="38" t="s">
        <v>91</v>
      </c>
      <c r="L31" s="8" t="s">
        <v>92</v>
      </c>
      <c r="M31" s="8" t="s">
        <v>92</v>
      </c>
      <c r="N31" s="42"/>
      <c r="O31" s="39" t="s">
        <v>1347</v>
      </c>
    </row>
    <row r="32">
      <c r="A32" s="38" t="s">
        <v>1413</v>
      </c>
      <c r="B32" s="38" t="s">
        <v>42</v>
      </c>
      <c r="C32" s="39" t="s">
        <v>1414</v>
      </c>
      <c r="D32" s="8" t="s">
        <v>1388</v>
      </c>
      <c r="E32" s="8" t="s">
        <v>1389</v>
      </c>
      <c r="F32" s="39" t="s">
        <v>1415</v>
      </c>
      <c r="G32" s="39" t="s">
        <v>87</v>
      </c>
      <c r="H32" s="39" t="s">
        <v>97</v>
      </c>
      <c r="I32" s="39" t="s">
        <v>1416</v>
      </c>
      <c r="J32" s="39" t="s">
        <v>144</v>
      </c>
      <c r="K32" s="38" t="s">
        <v>91</v>
      </c>
      <c r="L32" s="8" t="s">
        <v>92</v>
      </c>
      <c r="M32" s="8" t="s">
        <v>92</v>
      </c>
      <c r="N32" s="42"/>
      <c r="O32" s="39" t="s">
        <v>107</v>
      </c>
    </row>
    <row r="33">
      <c r="A33" s="38" t="s">
        <v>1417</v>
      </c>
      <c r="B33" s="38" t="s">
        <v>42</v>
      </c>
      <c r="C33" s="39" t="s">
        <v>1418</v>
      </c>
      <c r="D33" s="8" t="s">
        <v>1388</v>
      </c>
      <c r="E33" s="8" t="s">
        <v>1389</v>
      </c>
      <c r="F33" s="39" t="s">
        <v>1419</v>
      </c>
      <c r="G33" s="39"/>
      <c r="H33" s="39" t="s">
        <v>97</v>
      </c>
      <c r="I33" s="39" t="s">
        <v>1420</v>
      </c>
      <c r="J33" s="39" t="s">
        <v>144</v>
      </c>
      <c r="K33" s="38" t="s">
        <v>91</v>
      </c>
      <c r="L33" s="8" t="s">
        <v>92</v>
      </c>
      <c r="M33" s="8" t="s">
        <v>92</v>
      </c>
      <c r="N33" s="42"/>
      <c r="O33" s="39" t="s">
        <v>856</v>
      </c>
    </row>
    <row r="34">
      <c r="A34" s="38" t="s">
        <v>1421</v>
      </c>
      <c r="B34" s="38" t="s">
        <v>42</v>
      </c>
      <c r="C34" s="39" t="s">
        <v>1422</v>
      </c>
      <c r="D34" s="8" t="s">
        <v>1388</v>
      </c>
      <c r="E34" s="8" t="s">
        <v>1389</v>
      </c>
      <c r="F34" s="39" t="s">
        <v>1419</v>
      </c>
      <c r="G34" s="39"/>
      <c r="H34" s="39" t="s">
        <v>97</v>
      </c>
      <c r="I34" s="39" t="s">
        <v>1420</v>
      </c>
      <c r="J34" s="39" t="s">
        <v>144</v>
      </c>
      <c r="K34" s="38" t="s">
        <v>91</v>
      </c>
      <c r="L34" s="8" t="s">
        <v>92</v>
      </c>
      <c r="M34" s="8" t="s">
        <v>92</v>
      </c>
      <c r="N34" s="42"/>
      <c r="O34" s="39" t="s">
        <v>856</v>
      </c>
    </row>
    <row r="35">
      <c r="A35" s="38" t="s">
        <v>1423</v>
      </c>
      <c r="B35" s="38" t="s">
        <v>42</v>
      </c>
      <c r="C35" s="39" t="s">
        <v>1424</v>
      </c>
      <c r="D35" s="8" t="s">
        <v>1388</v>
      </c>
      <c r="E35" s="8" t="s">
        <v>1389</v>
      </c>
      <c r="F35" s="39" t="s">
        <v>1425</v>
      </c>
      <c r="G35" s="39" t="s">
        <v>87</v>
      </c>
      <c r="H35" s="39" t="s">
        <v>97</v>
      </c>
      <c r="I35" s="39" t="s">
        <v>1426</v>
      </c>
      <c r="J35" s="39" t="s">
        <v>1393</v>
      </c>
      <c r="K35" s="38" t="s">
        <v>91</v>
      </c>
      <c r="L35" s="8" t="s">
        <v>105</v>
      </c>
      <c r="M35" s="8" t="s">
        <v>105</v>
      </c>
      <c r="N35" s="42"/>
      <c r="O35" s="39" t="s">
        <v>367</v>
      </c>
    </row>
    <row r="36">
      <c r="A36" s="38" t="s">
        <v>1427</v>
      </c>
      <c r="B36" s="38" t="s">
        <v>42</v>
      </c>
      <c r="C36" s="39" t="s">
        <v>1428</v>
      </c>
      <c r="D36" s="8" t="s">
        <v>1388</v>
      </c>
      <c r="E36" s="8" t="s">
        <v>1389</v>
      </c>
      <c r="F36" s="39" t="s">
        <v>1429</v>
      </c>
      <c r="G36" s="39" t="s">
        <v>87</v>
      </c>
      <c r="H36" s="39" t="s">
        <v>97</v>
      </c>
      <c r="I36" s="39" t="s">
        <v>468</v>
      </c>
      <c r="J36" s="39" t="s">
        <v>1430</v>
      </c>
      <c r="K36" s="38" t="s">
        <v>91</v>
      </c>
      <c r="L36" s="8" t="s">
        <v>92</v>
      </c>
      <c r="M36" s="8" t="s">
        <v>92</v>
      </c>
      <c r="N36" s="42"/>
      <c r="O36" s="39" t="s">
        <v>1431</v>
      </c>
    </row>
    <row r="37">
      <c r="A37" s="38" t="s">
        <v>1432</v>
      </c>
      <c r="B37" s="38" t="s">
        <v>42</v>
      </c>
      <c r="C37" s="39" t="s">
        <v>1433</v>
      </c>
      <c r="D37" s="8" t="s">
        <v>1388</v>
      </c>
      <c r="E37" s="8" t="s">
        <v>1389</v>
      </c>
      <c r="F37" s="39" t="s">
        <v>1434</v>
      </c>
      <c r="G37" s="39" t="s">
        <v>87</v>
      </c>
      <c r="H37" s="39" t="s">
        <v>97</v>
      </c>
      <c r="I37" s="39" t="s">
        <v>468</v>
      </c>
      <c r="J37" s="39" t="s">
        <v>144</v>
      </c>
      <c r="K37" s="38" t="s">
        <v>91</v>
      </c>
      <c r="L37" s="8" t="s">
        <v>105</v>
      </c>
      <c r="M37" s="8" t="s">
        <v>105</v>
      </c>
      <c r="N37" s="42"/>
      <c r="O37" s="39" t="s">
        <v>1435</v>
      </c>
    </row>
    <row r="38">
      <c r="A38" s="38" t="s">
        <v>1436</v>
      </c>
      <c r="B38" s="38" t="s">
        <v>42</v>
      </c>
      <c r="C38" s="39" t="s">
        <v>389</v>
      </c>
      <c r="D38" s="8" t="s">
        <v>1388</v>
      </c>
      <c r="E38" s="8" t="s">
        <v>1389</v>
      </c>
      <c r="F38" s="39" t="s">
        <v>333</v>
      </c>
      <c r="G38" s="39" t="s">
        <v>888</v>
      </c>
      <c r="H38" s="39" t="s">
        <v>97</v>
      </c>
      <c r="I38" s="39" t="s">
        <v>141</v>
      </c>
      <c r="J38" s="39" t="s">
        <v>142</v>
      </c>
      <c r="K38" s="38" t="s">
        <v>91</v>
      </c>
      <c r="L38" s="8" t="s">
        <v>427</v>
      </c>
      <c r="M38" s="8" t="s">
        <v>92</v>
      </c>
      <c r="N38" s="42"/>
      <c r="O38" s="39" t="s">
        <v>145</v>
      </c>
    </row>
    <row r="39">
      <c r="A39" s="38" t="s">
        <v>1437</v>
      </c>
      <c r="B39" s="38" t="s">
        <v>42</v>
      </c>
      <c r="C39" s="39" t="s">
        <v>266</v>
      </c>
      <c r="D39" s="8" t="s">
        <v>1388</v>
      </c>
      <c r="E39" s="8" t="s">
        <v>1389</v>
      </c>
      <c r="F39" s="39" t="s">
        <v>333</v>
      </c>
      <c r="G39" s="39" t="s">
        <v>814</v>
      </c>
      <c r="H39" s="39" t="s">
        <v>97</v>
      </c>
      <c r="I39" s="39" t="s">
        <v>183</v>
      </c>
      <c r="J39" s="39" t="s">
        <v>144</v>
      </c>
      <c r="K39" s="38" t="s">
        <v>91</v>
      </c>
      <c r="L39" s="8" t="s">
        <v>121</v>
      </c>
      <c r="M39" s="8" t="s">
        <v>121</v>
      </c>
      <c r="N39" s="42"/>
      <c r="O39" s="39" t="s">
        <v>240</v>
      </c>
    </row>
    <row r="40">
      <c r="A40" s="38" t="s">
        <v>1438</v>
      </c>
      <c r="B40" s="38" t="s">
        <v>42</v>
      </c>
      <c r="C40" s="39" t="s">
        <v>935</v>
      </c>
      <c r="D40" s="8" t="s">
        <v>1388</v>
      </c>
      <c r="E40" s="8" t="s">
        <v>1389</v>
      </c>
      <c r="F40" s="39" t="s">
        <v>333</v>
      </c>
      <c r="G40" s="39" t="s">
        <v>261</v>
      </c>
      <c r="H40" s="39" t="s">
        <v>97</v>
      </c>
      <c r="I40" s="39" t="s">
        <v>262</v>
      </c>
      <c r="J40" s="39" t="s">
        <v>144</v>
      </c>
      <c r="K40" s="38" t="s">
        <v>91</v>
      </c>
      <c r="L40" s="8" t="s">
        <v>92</v>
      </c>
      <c r="M40" s="8" t="s">
        <v>92</v>
      </c>
      <c r="N40" s="42"/>
      <c r="O40" s="39" t="s">
        <v>268</v>
      </c>
    </row>
    <row r="41">
      <c r="A41" s="38" t="s">
        <v>1439</v>
      </c>
      <c r="B41" s="38" t="s">
        <v>42</v>
      </c>
      <c r="C41" s="39" t="s">
        <v>1440</v>
      </c>
      <c r="D41" s="8" t="s">
        <v>1388</v>
      </c>
      <c r="E41" s="8"/>
      <c r="F41" s="39" t="s">
        <v>333</v>
      </c>
      <c r="G41" s="39" t="s">
        <v>1398</v>
      </c>
      <c r="H41" s="39" t="s">
        <v>1441</v>
      </c>
      <c r="I41" s="39" t="s">
        <v>1442</v>
      </c>
      <c r="J41" s="39"/>
      <c r="K41" s="38" t="s">
        <v>172</v>
      </c>
      <c r="L41" s="8" t="s">
        <v>427</v>
      </c>
      <c r="M41" s="8" t="s">
        <v>92</v>
      </c>
      <c r="N41" s="42"/>
      <c r="O41" s="39" t="s">
        <v>1443</v>
      </c>
    </row>
    <row r="42">
      <c r="A42" s="38" t="s">
        <v>1444</v>
      </c>
      <c r="B42" s="38" t="s">
        <v>42</v>
      </c>
      <c r="C42" s="39" t="s">
        <v>1445</v>
      </c>
      <c r="D42" s="8" t="s">
        <v>1388</v>
      </c>
      <c r="E42" s="8" t="s">
        <v>1389</v>
      </c>
      <c r="F42" s="39" t="s">
        <v>333</v>
      </c>
      <c r="G42" s="39"/>
      <c r="H42" s="39" t="s">
        <v>97</v>
      </c>
      <c r="I42" s="39" t="s">
        <v>1446</v>
      </c>
      <c r="J42" s="39" t="s">
        <v>1447</v>
      </c>
      <c r="K42" s="38" t="s">
        <v>91</v>
      </c>
      <c r="L42" s="8" t="s">
        <v>427</v>
      </c>
      <c r="M42" s="8" t="s">
        <v>92</v>
      </c>
      <c r="N42" s="42"/>
      <c r="O42" s="39" t="s">
        <v>1448</v>
      </c>
    </row>
  </sheetData>
  <mergeCells count="4">
    <mergeCell ref="B3:J3"/>
    <mergeCell ref="K3:O3"/>
    <mergeCell ref="B27:J27"/>
    <mergeCell ref="K27:O27"/>
  </mergeCells>
  <dataValidations>
    <dataValidation type="list" allowBlank="1" showErrorMessage="1" sqref="D4:D26 D28:D42">
      <formula1>"GET,POST,PATCH,DELETE,PUT"</formula1>
    </dataValidation>
    <dataValidation type="list" allowBlank="1" showErrorMessage="1" sqref="L4:M26 L28:M42">
      <formula1>"High,Medium,Low,N/A,Critical"</formula1>
    </dataValidation>
    <dataValidation type="list" allowBlank="1" showErrorMessage="1" sqref="K4:K6 K8:K26 K28:K42">
      <formula1>"Pass,Fail,Not tested,Fixed"</formula1>
    </dataValidation>
    <dataValidation type="list" allowBlank="1" showErrorMessage="1" sqref="K7">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25.38"/>
    <col customWidth="1" min="3" max="3" width="30.0"/>
    <col customWidth="1" min="4" max="4" width="14.63"/>
    <col customWidth="1" min="5" max="5" width="28.5"/>
    <col customWidth="1" min="6" max="6" width="28.75"/>
    <col customWidth="1" min="7" max="7" width="28.13"/>
    <col customWidth="1" min="8" max="8" width="32.75"/>
    <col customWidth="1" min="9" max="9" width="42.0"/>
    <col customWidth="1" min="10" max="10" width="31.88"/>
    <col customWidth="1" min="11" max="11" width="20.0"/>
    <col customWidth="1" min="12" max="12" width="17.38"/>
    <col customWidth="1" min="13" max="13" width="17.75"/>
    <col customWidth="1" min="14" max="14" width="24.38"/>
    <col customWidth="1" min="15" max="15" width="26.5"/>
  </cols>
  <sheetData>
    <row r="1">
      <c r="A1" s="22" t="s">
        <v>0</v>
      </c>
      <c r="B1" s="22" t="s">
        <v>13</v>
      </c>
      <c r="C1" s="25"/>
      <c r="D1" s="26"/>
      <c r="E1" s="28"/>
      <c r="F1" s="28"/>
      <c r="G1" s="28"/>
      <c r="H1" s="28"/>
      <c r="I1" s="28"/>
      <c r="J1" s="28"/>
      <c r="K1" s="28"/>
      <c r="L1" s="28"/>
      <c r="M1" s="28"/>
      <c r="N1" s="28"/>
      <c r="O1" s="28"/>
      <c r="P1" s="28"/>
      <c r="Q1" s="28"/>
      <c r="R1" s="28"/>
      <c r="S1" s="28"/>
      <c r="T1" s="28"/>
      <c r="U1" s="28"/>
      <c r="V1" s="28"/>
      <c r="W1" s="28"/>
      <c r="X1" s="28"/>
      <c r="Y1" s="28"/>
      <c r="Z1" s="28"/>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c r="P2" s="28"/>
      <c r="Q2" s="28"/>
      <c r="R2" s="28"/>
      <c r="S2" s="28"/>
      <c r="T2" s="28"/>
      <c r="U2" s="28"/>
      <c r="V2" s="28"/>
      <c r="W2" s="28"/>
      <c r="X2" s="28"/>
      <c r="Y2" s="28"/>
      <c r="Z2" s="28"/>
    </row>
    <row r="3" ht="32.25" customHeight="1">
      <c r="A3" s="44" t="s">
        <v>1449</v>
      </c>
      <c r="B3" s="23"/>
      <c r="C3" s="23"/>
      <c r="D3" s="23"/>
      <c r="E3" s="23"/>
      <c r="F3" s="23"/>
      <c r="G3" s="23"/>
      <c r="H3" s="23"/>
      <c r="I3" s="23"/>
      <c r="J3" s="23"/>
      <c r="K3" s="23"/>
      <c r="L3" s="23"/>
      <c r="M3" s="23"/>
      <c r="N3" s="23"/>
      <c r="O3" s="23"/>
      <c r="P3" s="23"/>
      <c r="Q3" s="23"/>
      <c r="R3" s="23"/>
      <c r="S3" s="23"/>
      <c r="T3" s="23"/>
      <c r="U3" s="23"/>
      <c r="V3" s="23"/>
      <c r="W3" s="23"/>
      <c r="X3" s="23"/>
      <c r="Y3" s="23"/>
      <c r="Z3" s="24"/>
    </row>
    <row r="4">
      <c r="A4" s="38" t="s">
        <v>1450</v>
      </c>
      <c r="B4" s="38" t="s">
        <v>48</v>
      </c>
      <c r="C4" s="64" t="s">
        <v>1451</v>
      </c>
      <c r="D4" s="52" t="s">
        <v>84</v>
      </c>
      <c r="E4" s="64" t="s">
        <v>1452</v>
      </c>
      <c r="F4" s="64" t="s">
        <v>1453</v>
      </c>
      <c r="G4" s="64" t="s">
        <v>1454</v>
      </c>
      <c r="H4" s="64" t="s">
        <v>1455</v>
      </c>
      <c r="I4" s="64" t="s">
        <v>1456</v>
      </c>
      <c r="J4" s="50" t="s">
        <v>1457</v>
      </c>
      <c r="K4" s="38" t="s">
        <v>91</v>
      </c>
      <c r="L4" s="38" t="s">
        <v>127</v>
      </c>
      <c r="M4" s="38" t="s">
        <v>127</v>
      </c>
      <c r="N4" s="47"/>
      <c r="O4" s="64" t="s">
        <v>93</v>
      </c>
      <c r="P4" s="28"/>
      <c r="Q4" s="28"/>
      <c r="R4" s="28"/>
      <c r="S4" s="28"/>
      <c r="T4" s="28"/>
      <c r="U4" s="28"/>
      <c r="V4" s="28"/>
      <c r="W4" s="28"/>
      <c r="X4" s="28"/>
      <c r="Y4" s="28"/>
      <c r="Z4" s="28"/>
    </row>
    <row r="5">
      <c r="A5" s="38" t="s">
        <v>1458</v>
      </c>
      <c r="B5" s="38" t="s">
        <v>48</v>
      </c>
      <c r="C5" s="64" t="s">
        <v>1460</v>
      </c>
      <c r="D5" s="52" t="s">
        <v>84</v>
      </c>
      <c r="E5" s="64" t="s">
        <v>1452</v>
      </c>
      <c r="F5" s="64" t="s">
        <v>1462</v>
      </c>
      <c r="G5" s="64" t="s">
        <v>300</v>
      </c>
      <c r="H5" s="64" t="s">
        <v>97</v>
      </c>
      <c r="I5" s="64" t="s">
        <v>1466</v>
      </c>
      <c r="J5" s="45" t="s">
        <v>144</v>
      </c>
      <c r="K5" s="38" t="s">
        <v>91</v>
      </c>
      <c r="L5" s="38" t="s">
        <v>127</v>
      </c>
      <c r="M5" s="38" t="s">
        <v>127</v>
      </c>
      <c r="N5" s="64"/>
      <c r="O5" s="64" t="s">
        <v>1469</v>
      </c>
      <c r="P5" s="28"/>
      <c r="Q5" s="28"/>
      <c r="R5" s="28"/>
      <c r="S5" s="28"/>
      <c r="T5" s="28"/>
      <c r="U5" s="28"/>
      <c r="V5" s="28"/>
      <c r="W5" s="28"/>
      <c r="X5" s="28"/>
      <c r="Y5" s="28"/>
      <c r="Z5" s="28"/>
    </row>
    <row r="6">
      <c r="A6" s="38" t="s">
        <v>1470</v>
      </c>
      <c r="B6" s="38" t="s">
        <v>48</v>
      </c>
      <c r="C6" s="64" t="s">
        <v>1471</v>
      </c>
      <c r="D6" s="52" t="s">
        <v>84</v>
      </c>
      <c r="E6" s="64" t="s">
        <v>1452</v>
      </c>
      <c r="F6" s="64" t="s">
        <v>1473</v>
      </c>
      <c r="G6" s="64" t="s">
        <v>1474</v>
      </c>
      <c r="H6" s="64" t="s">
        <v>97</v>
      </c>
      <c r="I6" s="64" t="s">
        <v>1476</v>
      </c>
      <c r="J6" s="45" t="s">
        <v>144</v>
      </c>
      <c r="K6" s="38" t="s">
        <v>91</v>
      </c>
      <c r="L6" s="38" t="s">
        <v>127</v>
      </c>
      <c r="M6" s="38" t="s">
        <v>127</v>
      </c>
      <c r="N6" s="64"/>
      <c r="O6" s="64" t="s">
        <v>402</v>
      </c>
      <c r="P6" s="28"/>
      <c r="Q6" s="28"/>
      <c r="R6" s="28"/>
      <c r="S6" s="28"/>
      <c r="T6" s="28"/>
      <c r="U6" s="28"/>
      <c r="V6" s="28"/>
      <c r="W6" s="28"/>
      <c r="X6" s="28"/>
      <c r="Y6" s="28"/>
      <c r="Z6" s="28"/>
    </row>
    <row r="7">
      <c r="A7" s="38" t="s">
        <v>1481</v>
      </c>
      <c r="B7" s="38" t="s">
        <v>48</v>
      </c>
      <c r="C7" s="64" t="s">
        <v>1483</v>
      </c>
      <c r="D7" s="52" t="s">
        <v>84</v>
      </c>
      <c r="E7" s="64" t="s">
        <v>1452</v>
      </c>
      <c r="F7" s="64" t="s">
        <v>517</v>
      </c>
      <c r="G7" s="64" t="s">
        <v>300</v>
      </c>
      <c r="H7" s="64" t="s">
        <v>97</v>
      </c>
      <c r="I7" s="64" t="s">
        <v>1487</v>
      </c>
      <c r="J7" s="45" t="s">
        <v>1488</v>
      </c>
      <c r="K7" s="38" t="s">
        <v>91</v>
      </c>
      <c r="L7" s="38" t="s">
        <v>127</v>
      </c>
      <c r="M7" s="38" t="s">
        <v>127</v>
      </c>
      <c r="N7" s="64"/>
      <c r="O7" s="64" t="s">
        <v>100</v>
      </c>
      <c r="P7" s="28"/>
      <c r="Q7" s="28"/>
      <c r="R7" s="28"/>
      <c r="S7" s="28"/>
      <c r="T7" s="28"/>
      <c r="U7" s="28"/>
      <c r="V7" s="28"/>
      <c r="W7" s="28"/>
      <c r="X7" s="28"/>
      <c r="Y7" s="28"/>
      <c r="Z7" s="28"/>
    </row>
    <row r="8">
      <c r="A8" s="38" t="s">
        <v>1493</v>
      </c>
      <c r="B8" s="38" t="s">
        <v>48</v>
      </c>
      <c r="C8" s="64" t="s">
        <v>1494</v>
      </c>
      <c r="D8" s="52" t="s">
        <v>84</v>
      </c>
      <c r="E8" s="64" t="s">
        <v>1452</v>
      </c>
      <c r="F8" s="64" t="s">
        <v>517</v>
      </c>
      <c r="G8" s="64" t="s">
        <v>300</v>
      </c>
      <c r="H8" s="64" t="s">
        <v>97</v>
      </c>
      <c r="I8" s="64" t="s">
        <v>1495</v>
      </c>
      <c r="J8" s="45" t="s">
        <v>144</v>
      </c>
      <c r="K8" s="38" t="s">
        <v>91</v>
      </c>
      <c r="L8" s="38" t="s">
        <v>127</v>
      </c>
      <c r="M8" s="38" t="s">
        <v>127</v>
      </c>
      <c r="N8" s="64"/>
      <c r="O8" s="64" t="s">
        <v>1499</v>
      </c>
      <c r="P8" s="28"/>
      <c r="Q8" s="28"/>
      <c r="R8" s="28"/>
      <c r="S8" s="28"/>
      <c r="T8" s="28"/>
      <c r="U8" s="28"/>
      <c r="V8" s="28"/>
      <c r="W8" s="28"/>
      <c r="X8" s="28"/>
      <c r="Y8" s="28"/>
      <c r="Z8" s="28"/>
    </row>
    <row r="9">
      <c r="A9" s="38" t="s">
        <v>1502</v>
      </c>
      <c r="B9" s="38" t="s">
        <v>48</v>
      </c>
      <c r="C9" s="64" t="s">
        <v>1503</v>
      </c>
      <c r="D9" s="52" t="s">
        <v>84</v>
      </c>
      <c r="E9" s="64" t="s">
        <v>1452</v>
      </c>
      <c r="F9" s="64" t="s">
        <v>517</v>
      </c>
      <c r="G9" s="64" t="s">
        <v>300</v>
      </c>
      <c r="H9" s="64" t="s">
        <v>97</v>
      </c>
      <c r="I9" s="64" t="s">
        <v>1506</v>
      </c>
      <c r="J9" s="45" t="s">
        <v>144</v>
      </c>
      <c r="K9" s="38" t="s">
        <v>91</v>
      </c>
      <c r="L9" s="38" t="s">
        <v>127</v>
      </c>
      <c r="M9" s="38" t="s">
        <v>127</v>
      </c>
      <c r="N9" s="64"/>
      <c r="O9" s="64" t="s">
        <v>1510</v>
      </c>
      <c r="P9" s="28"/>
      <c r="Q9" s="28"/>
      <c r="R9" s="28"/>
      <c r="S9" s="28"/>
      <c r="T9" s="28"/>
      <c r="U9" s="28"/>
      <c r="V9" s="28"/>
      <c r="W9" s="28"/>
      <c r="X9" s="28"/>
      <c r="Y9" s="28"/>
      <c r="Z9" s="28"/>
    </row>
    <row r="10">
      <c r="A10" s="38" t="s">
        <v>1511</v>
      </c>
      <c r="B10" s="38" t="s">
        <v>48</v>
      </c>
      <c r="C10" s="64" t="s">
        <v>1514</v>
      </c>
      <c r="D10" s="52" t="s">
        <v>84</v>
      </c>
      <c r="E10" s="64" t="s">
        <v>1452</v>
      </c>
      <c r="F10" s="64" t="s">
        <v>517</v>
      </c>
      <c r="G10" s="64" t="s">
        <v>300</v>
      </c>
      <c r="H10" s="64" t="s">
        <v>97</v>
      </c>
      <c r="I10" s="64" t="s">
        <v>1517</v>
      </c>
      <c r="J10" s="45" t="s">
        <v>144</v>
      </c>
      <c r="K10" s="38" t="s">
        <v>91</v>
      </c>
      <c r="L10" s="38" t="s">
        <v>127</v>
      </c>
      <c r="M10" s="38" t="s">
        <v>127</v>
      </c>
      <c r="N10" s="64"/>
      <c r="O10" s="64" t="s">
        <v>1510</v>
      </c>
      <c r="P10" s="28"/>
      <c r="Q10" s="28"/>
      <c r="R10" s="28"/>
      <c r="S10" s="28"/>
      <c r="T10" s="28"/>
      <c r="U10" s="28"/>
      <c r="V10" s="28"/>
      <c r="W10" s="28"/>
      <c r="X10" s="28"/>
      <c r="Y10" s="28"/>
      <c r="Z10" s="28"/>
    </row>
    <row r="11">
      <c r="A11" s="38" t="s">
        <v>1523</v>
      </c>
      <c r="B11" s="38" t="s">
        <v>48</v>
      </c>
      <c r="C11" s="64" t="s">
        <v>1352</v>
      </c>
      <c r="D11" s="52" t="s">
        <v>84</v>
      </c>
      <c r="E11" s="64" t="s">
        <v>1452</v>
      </c>
      <c r="F11" s="64" t="s">
        <v>517</v>
      </c>
      <c r="G11" s="64" t="s">
        <v>300</v>
      </c>
      <c r="H11" s="64" t="s">
        <v>97</v>
      </c>
      <c r="I11" s="64" t="s">
        <v>1525</v>
      </c>
      <c r="J11" s="45" t="s">
        <v>1526</v>
      </c>
      <c r="K11" s="38" t="s">
        <v>91</v>
      </c>
      <c r="L11" s="38" t="s">
        <v>127</v>
      </c>
      <c r="M11" s="38" t="s">
        <v>127</v>
      </c>
      <c r="N11" s="64"/>
      <c r="O11" s="64" t="s">
        <v>337</v>
      </c>
      <c r="P11" s="28"/>
      <c r="Q11" s="28"/>
      <c r="R11" s="28"/>
      <c r="S11" s="28"/>
      <c r="T11" s="28"/>
      <c r="U11" s="28"/>
      <c r="V11" s="28"/>
      <c r="W11" s="28"/>
      <c r="X11" s="28"/>
      <c r="Y11" s="28"/>
      <c r="Z11" s="28"/>
    </row>
    <row r="12">
      <c r="A12" s="38" t="s">
        <v>1532</v>
      </c>
      <c r="B12" s="38" t="s">
        <v>48</v>
      </c>
      <c r="C12" s="64" t="s">
        <v>1534</v>
      </c>
      <c r="D12" s="52" t="s">
        <v>84</v>
      </c>
      <c r="E12" s="64" t="s">
        <v>1452</v>
      </c>
      <c r="F12" s="64" t="s">
        <v>517</v>
      </c>
      <c r="G12" s="64" t="s">
        <v>300</v>
      </c>
      <c r="H12" s="64" t="s">
        <v>97</v>
      </c>
      <c r="I12" s="64" t="s">
        <v>1540</v>
      </c>
      <c r="J12" s="45" t="s">
        <v>144</v>
      </c>
      <c r="K12" s="38" t="s">
        <v>91</v>
      </c>
      <c r="L12" s="38" t="s">
        <v>127</v>
      </c>
      <c r="M12" s="38" t="s">
        <v>127</v>
      </c>
      <c r="N12" s="64"/>
      <c r="O12" s="64" t="s">
        <v>1547</v>
      </c>
      <c r="P12" s="28"/>
      <c r="Q12" s="28"/>
      <c r="R12" s="28"/>
      <c r="S12" s="28"/>
      <c r="T12" s="28"/>
      <c r="U12" s="28"/>
      <c r="V12" s="28"/>
      <c r="W12" s="28"/>
      <c r="X12" s="28"/>
      <c r="Y12" s="28"/>
      <c r="Z12" s="28"/>
    </row>
    <row r="13">
      <c r="A13" s="38" t="s">
        <v>1551</v>
      </c>
      <c r="B13" s="38" t="s">
        <v>48</v>
      </c>
      <c r="C13" s="64" t="s">
        <v>1554</v>
      </c>
      <c r="D13" s="52" t="s">
        <v>84</v>
      </c>
      <c r="E13" s="64" t="s">
        <v>1452</v>
      </c>
      <c r="F13" s="64" t="s">
        <v>517</v>
      </c>
      <c r="G13" s="64" t="s">
        <v>203</v>
      </c>
      <c r="H13" s="64" t="s">
        <v>1555</v>
      </c>
      <c r="I13" s="64" t="s">
        <v>556</v>
      </c>
      <c r="J13" s="45" t="s">
        <v>142</v>
      </c>
      <c r="K13" s="38" t="s">
        <v>91</v>
      </c>
      <c r="L13" s="38" t="s">
        <v>127</v>
      </c>
      <c r="M13" s="38" t="s">
        <v>127</v>
      </c>
      <c r="N13" s="64"/>
      <c r="O13" s="64" t="s">
        <v>206</v>
      </c>
      <c r="P13" s="28"/>
      <c r="Q13" s="28"/>
      <c r="R13" s="28"/>
      <c r="S13" s="28"/>
      <c r="T13" s="28"/>
      <c r="U13" s="28"/>
      <c r="V13" s="28"/>
      <c r="W13" s="28"/>
      <c r="X13" s="28"/>
      <c r="Y13" s="28"/>
      <c r="Z13" s="28"/>
    </row>
    <row r="14">
      <c r="A14" s="38" t="s">
        <v>1565</v>
      </c>
      <c r="B14" s="38" t="s">
        <v>48</v>
      </c>
      <c r="C14" s="64" t="s">
        <v>1567</v>
      </c>
      <c r="D14" s="52" t="s">
        <v>84</v>
      </c>
      <c r="E14" s="64" t="s">
        <v>1452</v>
      </c>
      <c r="F14" s="64" t="s">
        <v>517</v>
      </c>
      <c r="G14" s="64" t="s">
        <v>242</v>
      </c>
      <c r="H14" s="64" t="s">
        <v>97</v>
      </c>
      <c r="I14" s="64" t="s">
        <v>556</v>
      </c>
      <c r="J14" s="45" t="s">
        <v>144</v>
      </c>
      <c r="K14" s="38" t="s">
        <v>91</v>
      </c>
      <c r="L14" s="38" t="s">
        <v>127</v>
      </c>
      <c r="M14" s="38" t="s">
        <v>127</v>
      </c>
      <c r="N14" s="64"/>
      <c r="O14" s="64" t="s">
        <v>1572</v>
      </c>
      <c r="P14" s="28"/>
      <c r="Q14" s="28"/>
      <c r="R14" s="28"/>
      <c r="S14" s="28"/>
      <c r="T14" s="28"/>
      <c r="U14" s="28"/>
      <c r="V14" s="28"/>
      <c r="W14" s="28"/>
      <c r="X14" s="28"/>
      <c r="Y14" s="28"/>
      <c r="Z14" s="28"/>
    </row>
    <row r="15">
      <c r="A15" s="38" t="s">
        <v>1575</v>
      </c>
      <c r="B15" s="38" t="s">
        <v>48</v>
      </c>
      <c r="C15" s="64" t="s">
        <v>1576</v>
      </c>
      <c r="D15" s="52" t="s">
        <v>84</v>
      </c>
      <c r="E15" s="64" t="s">
        <v>1452</v>
      </c>
      <c r="F15" s="64" t="s">
        <v>517</v>
      </c>
      <c r="G15" s="64" t="s">
        <v>503</v>
      </c>
      <c r="H15" s="64" t="s">
        <v>97</v>
      </c>
      <c r="I15" s="64" t="s">
        <v>562</v>
      </c>
      <c r="J15" s="45"/>
      <c r="K15" s="38" t="s">
        <v>172</v>
      </c>
      <c r="L15" s="38" t="s">
        <v>127</v>
      </c>
      <c r="M15" s="38" t="s">
        <v>127</v>
      </c>
      <c r="N15" s="64"/>
      <c r="O15" s="64" t="s">
        <v>402</v>
      </c>
      <c r="P15" s="28"/>
      <c r="Q15" s="28"/>
      <c r="R15" s="28"/>
      <c r="S15" s="28"/>
      <c r="T15" s="28"/>
      <c r="U15" s="28"/>
      <c r="V15" s="28"/>
      <c r="W15" s="28"/>
      <c r="X15" s="28"/>
      <c r="Y15" s="28"/>
      <c r="Z15" s="28"/>
    </row>
    <row r="16">
      <c r="A16" s="38" t="s">
        <v>1582</v>
      </c>
      <c r="B16" s="38" t="s">
        <v>48</v>
      </c>
      <c r="C16" s="64" t="s">
        <v>1583</v>
      </c>
      <c r="D16" s="52" t="s">
        <v>84</v>
      </c>
      <c r="E16" s="64" t="s">
        <v>1452</v>
      </c>
      <c r="F16" s="64" t="s">
        <v>1585</v>
      </c>
      <c r="G16" s="64" t="s">
        <v>300</v>
      </c>
      <c r="H16" s="64" t="s">
        <v>97</v>
      </c>
      <c r="I16" s="64" t="s">
        <v>578</v>
      </c>
      <c r="J16" s="45" t="s">
        <v>144</v>
      </c>
      <c r="K16" s="38" t="s">
        <v>91</v>
      </c>
      <c r="L16" s="38" t="s">
        <v>127</v>
      </c>
      <c r="M16" s="38" t="s">
        <v>127</v>
      </c>
      <c r="N16" s="64"/>
      <c r="O16" s="64" t="s">
        <v>387</v>
      </c>
      <c r="P16" s="28"/>
      <c r="Q16" s="28"/>
      <c r="R16" s="28"/>
      <c r="S16" s="28"/>
      <c r="T16" s="28"/>
      <c r="U16" s="28"/>
      <c r="V16" s="28"/>
      <c r="W16" s="28"/>
      <c r="X16" s="28"/>
      <c r="Y16" s="28"/>
      <c r="Z16" s="28"/>
    </row>
    <row r="17">
      <c r="A17" s="38" t="s">
        <v>1588</v>
      </c>
      <c r="B17" s="38" t="s">
        <v>48</v>
      </c>
      <c r="C17" s="64" t="s">
        <v>1590</v>
      </c>
      <c r="D17" s="52" t="s">
        <v>84</v>
      </c>
      <c r="E17" s="64" t="s">
        <v>1452</v>
      </c>
      <c r="F17" s="64" t="s">
        <v>1592</v>
      </c>
      <c r="G17" s="64" t="s">
        <v>300</v>
      </c>
      <c r="H17" s="64" t="s">
        <v>97</v>
      </c>
      <c r="I17" s="64" t="s">
        <v>1593</v>
      </c>
      <c r="J17" s="45" t="s">
        <v>1595</v>
      </c>
      <c r="K17" s="38" t="s">
        <v>91</v>
      </c>
      <c r="L17" s="38" t="s">
        <v>127</v>
      </c>
      <c r="M17" s="38" t="s">
        <v>127</v>
      </c>
      <c r="N17" s="64"/>
      <c r="O17" s="64" t="s">
        <v>1596</v>
      </c>
      <c r="P17" s="28"/>
      <c r="Q17" s="28"/>
      <c r="R17" s="28"/>
      <c r="S17" s="28"/>
      <c r="T17" s="28"/>
      <c r="U17" s="28"/>
      <c r="V17" s="28"/>
      <c r="W17" s="28"/>
      <c r="X17" s="28"/>
      <c r="Y17" s="28"/>
      <c r="Z17" s="28"/>
    </row>
    <row r="18">
      <c r="A18" s="38" t="s">
        <v>1597</v>
      </c>
      <c r="B18" s="38" t="s">
        <v>48</v>
      </c>
      <c r="C18" s="64" t="s">
        <v>1599</v>
      </c>
      <c r="D18" s="52" t="s">
        <v>84</v>
      </c>
      <c r="E18" s="64" t="s">
        <v>1601</v>
      </c>
      <c r="F18" s="64" t="s">
        <v>1603</v>
      </c>
      <c r="G18" s="64" t="s">
        <v>300</v>
      </c>
      <c r="H18" s="64" t="s">
        <v>97</v>
      </c>
      <c r="I18" s="64" t="s">
        <v>578</v>
      </c>
      <c r="J18" s="45" t="s">
        <v>144</v>
      </c>
      <c r="K18" s="38" t="s">
        <v>91</v>
      </c>
      <c r="L18" s="38" t="s">
        <v>127</v>
      </c>
      <c r="M18" s="38" t="s">
        <v>127</v>
      </c>
      <c r="N18" s="64"/>
      <c r="O18" s="64" t="s">
        <v>1607</v>
      </c>
      <c r="P18" s="28"/>
      <c r="Q18" s="28"/>
      <c r="R18" s="28"/>
      <c r="S18" s="28"/>
      <c r="T18" s="28"/>
      <c r="U18" s="28"/>
      <c r="V18" s="28"/>
      <c r="W18" s="28"/>
      <c r="X18" s="28"/>
      <c r="Y18" s="28"/>
      <c r="Z18" s="28"/>
    </row>
    <row r="19">
      <c r="A19" s="38" t="s">
        <v>1608</v>
      </c>
      <c r="B19" s="38" t="s">
        <v>48</v>
      </c>
      <c r="C19" s="64" t="s">
        <v>1609</v>
      </c>
      <c r="D19" s="38" t="s">
        <v>219</v>
      </c>
      <c r="E19" s="64" t="s">
        <v>1452</v>
      </c>
      <c r="F19" s="64" t="s">
        <v>517</v>
      </c>
      <c r="G19" s="64" t="s">
        <v>300</v>
      </c>
      <c r="H19" s="64" t="s">
        <v>223</v>
      </c>
      <c r="I19" s="64" t="s">
        <v>578</v>
      </c>
      <c r="J19" s="45" t="s">
        <v>144</v>
      </c>
      <c r="K19" s="38" t="s">
        <v>91</v>
      </c>
      <c r="L19" s="38" t="s">
        <v>127</v>
      </c>
      <c r="M19" s="38" t="s">
        <v>127</v>
      </c>
      <c r="N19" s="64"/>
      <c r="O19" s="64" t="s">
        <v>1614</v>
      </c>
      <c r="P19" s="28"/>
      <c r="Q19" s="28"/>
      <c r="R19" s="28"/>
      <c r="S19" s="28"/>
      <c r="T19" s="28"/>
      <c r="U19" s="28"/>
      <c r="V19" s="28"/>
      <c r="W19" s="28"/>
      <c r="X19" s="28"/>
      <c r="Y19" s="28"/>
      <c r="Z19" s="28"/>
    </row>
    <row r="20">
      <c r="A20" s="38" t="s">
        <v>1615</v>
      </c>
      <c r="B20" s="38" t="s">
        <v>48</v>
      </c>
      <c r="C20" s="64" t="s">
        <v>1617</v>
      </c>
      <c r="D20" s="52" t="s">
        <v>84</v>
      </c>
      <c r="E20" s="64" t="s">
        <v>1452</v>
      </c>
      <c r="F20" s="64" t="s">
        <v>517</v>
      </c>
      <c r="G20" s="64" t="s">
        <v>300</v>
      </c>
      <c r="H20" s="64" t="s">
        <v>97</v>
      </c>
      <c r="I20" s="64" t="s">
        <v>1618</v>
      </c>
      <c r="J20" s="45" t="s">
        <v>144</v>
      </c>
      <c r="K20" s="38" t="s">
        <v>91</v>
      </c>
      <c r="L20" s="38" t="s">
        <v>127</v>
      </c>
      <c r="M20" s="38" t="s">
        <v>127</v>
      </c>
      <c r="N20" s="64"/>
      <c r="O20" s="64" t="s">
        <v>1619</v>
      </c>
      <c r="P20" s="28"/>
      <c r="Q20" s="28"/>
      <c r="R20" s="28"/>
      <c r="S20" s="28"/>
      <c r="T20" s="28"/>
      <c r="U20" s="28"/>
      <c r="V20" s="28"/>
      <c r="W20" s="28"/>
      <c r="X20" s="28"/>
      <c r="Y20" s="28"/>
      <c r="Z20" s="28"/>
    </row>
    <row r="21">
      <c r="A21" s="38" t="s">
        <v>1620</v>
      </c>
      <c r="B21" s="38" t="s">
        <v>48</v>
      </c>
      <c r="C21" s="64" t="s">
        <v>1621</v>
      </c>
      <c r="D21" s="52" t="s">
        <v>84</v>
      </c>
      <c r="E21" s="64" t="s">
        <v>1452</v>
      </c>
      <c r="F21" s="64" t="s">
        <v>517</v>
      </c>
      <c r="G21" s="64" t="s">
        <v>300</v>
      </c>
      <c r="H21" s="64" t="s">
        <v>97</v>
      </c>
      <c r="I21" s="64" t="s">
        <v>1622</v>
      </c>
      <c r="J21" s="45" t="s">
        <v>144</v>
      </c>
      <c r="K21" s="38" t="s">
        <v>91</v>
      </c>
      <c r="L21" s="38" t="s">
        <v>127</v>
      </c>
      <c r="M21" s="38" t="s">
        <v>127</v>
      </c>
      <c r="N21" s="64"/>
      <c r="O21" s="64" t="s">
        <v>1619</v>
      </c>
      <c r="P21" s="28"/>
      <c r="Q21" s="28"/>
      <c r="R21" s="28"/>
      <c r="S21" s="28"/>
      <c r="T21" s="28"/>
      <c r="U21" s="28"/>
      <c r="V21" s="28"/>
      <c r="W21" s="28"/>
      <c r="X21" s="28"/>
      <c r="Y21" s="28"/>
      <c r="Z21" s="28"/>
    </row>
    <row r="22">
      <c r="A22" s="38" t="s">
        <v>1623</v>
      </c>
      <c r="B22" s="38" t="s">
        <v>48</v>
      </c>
      <c r="C22" s="64" t="s">
        <v>1624</v>
      </c>
      <c r="D22" s="52" t="s">
        <v>84</v>
      </c>
      <c r="E22" s="64" t="s">
        <v>1452</v>
      </c>
      <c r="F22" s="64" t="s">
        <v>517</v>
      </c>
      <c r="G22" s="64" t="s">
        <v>300</v>
      </c>
      <c r="H22" s="64" t="s">
        <v>97</v>
      </c>
      <c r="I22" s="64" t="s">
        <v>1625</v>
      </c>
      <c r="J22" s="45" t="s">
        <v>144</v>
      </c>
      <c r="K22" s="38" t="s">
        <v>91</v>
      </c>
      <c r="L22" s="38" t="s">
        <v>127</v>
      </c>
      <c r="M22" s="38" t="s">
        <v>127</v>
      </c>
      <c r="N22" s="64"/>
      <c r="O22" s="64" t="s">
        <v>1626</v>
      </c>
      <c r="P22" s="28"/>
      <c r="Q22" s="28"/>
      <c r="R22" s="28"/>
      <c r="S22" s="28"/>
      <c r="T22" s="28"/>
      <c r="U22" s="28"/>
      <c r="V22" s="28"/>
      <c r="W22" s="28"/>
      <c r="X22" s="28"/>
      <c r="Y22" s="28"/>
      <c r="Z22" s="28"/>
    </row>
    <row r="23">
      <c r="A23" s="38" t="s">
        <v>1627</v>
      </c>
      <c r="B23" s="38" t="s">
        <v>48</v>
      </c>
      <c r="C23" s="64" t="s">
        <v>1628</v>
      </c>
      <c r="D23" s="52" t="s">
        <v>84</v>
      </c>
      <c r="E23" s="64" t="s">
        <v>1452</v>
      </c>
      <c r="F23" s="64" t="s">
        <v>517</v>
      </c>
      <c r="G23" s="64" t="s">
        <v>300</v>
      </c>
      <c r="H23" s="64" t="s">
        <v>97</v>
      </c>
      <c r="I23" s="64" t="s">
        <v>723</v>
      </c>
      <c r="J23" s="45" t="s">
        <v>144</v>
      </c>
      <c r="K23" s="38" t="s">
        <v>91</v>
      </c>
      <c r="L23" s="38" t="s">
        <v>127</v>
      </c>
      <c r="M23" s="38" t="s">
        <v>127</v>
      </c>
      <c r="N23" s="64"/>
      <c r="O23" s="64" t="s">
        <v>278</v>
      </c>
      <c r="P23" s="28"/>
      <c r="Q23" s="28"/>
      <c r="R23" s="28"/>
      <c r="S23" s="28"/>
      <c r="T23" s="28"/>
      <c r="U23" s="28"/>
      <c r="V23" s="28"/>
      <c r="W23" s="28"/>
      <c r="X23" s="28"/>
      <c r="Y23" s="28"/>
      <c r="Z23" s="28"/>
    </row>
    <row r="24">
      <c r="A24" s="38" t="s">
        <v>1629</v>
      </c>
      <c r="B24" s="38" t="s">
        <v>48</v>
      </c>
      <c r="C24" s="64" t="s">
        <v>1630</v>
      </c>
      <c r="D24" s="52" t="s">
        <v>84</v>
      </c>
      <c r="E24" s="64" t="s">
        <v>1452</v>
      </c>
      <c r="F24" s="64" t="s">
        <v>1631</v>
      </c>
      <c r="G24" s="64" t="s">
        <v>300</v>
      </c>
      <c r="H24" s="64" t="s">
        <v>97</v>
      </c>
      <c r="I24" s="64" t="s">
        <v>1632</v>
      </c>
      <c r="J24" s="64"/>
      <c r="K24" s="38" t="s">
        <v>172</v>
      </c>
      <c r="L24" s="38" t="s">
        <v>127</v>
      </c>
      <c r="M24" s="38" t="s">
        <v>127</v>
      </c>
      <c r="N24" s="64"/>
      <c r="O24" s="64" t="s">
        <v>1633</v>
      </c>
      <c r="P24" s="28"/>
      <c r="Q24" s="28"/>
      <c r="R24" s="28"/>
      <c r="S24" s="28"/>
      <c r="T24" s="28"/>
      <c r="U24" s="28"/>
      <c r="V24" s="28"/>
      <c r="W24" s="28"/>
      <c r="X24" s="28"/>
      <c r="Y24" s="28"/>
      <c r="Z24" s="28"/>
    </row>
    <row r="25">
      <c r="A25" s="38" t="s">
        <v>1634</v>
      </c>
      <c r="B25" s="38" t="s">
        <v>48</v>
      </c>
      <c r="C25" s="64" t="s">
        <v>1635</v>
      </c>
      <c r="D25" s="52" t="s">
        <v>84</v>
      </c>
      <c r="E25" s="64" t="s">
        <v>1452</v>
      </c>
      <c r="F25" s="64" t="s">
        <v>517</v>
      </c>
      <c r="G25" s="64" t="s">
        <v>300</v>
      </c>
      <c r="H25" s="64" t="s">
        <v>97</v>
      </c>
      <c r="I25" s="64" t="s">
        <v>1636</v>
      </c>
      <c r="J25" s="45" t="s">
        <v>144</v>
      </c>
      <c r="K25" s="38" t="s">
        <v>91</v>
      </c>
      <c r="L25" s="38" t="s">
        <v>127</v>
      </c>
      <c r="M25" s="38" t="s">
        <v>127</v>
      </c>
      <c r="N25" s="64"/>
      <c r="O25" s="64" t="s">
        <v>281</v>
      </c>
      <c r="P25" s="28"/>
      <c r="Q25" s="28"/>
      <c r="R25" s="28"/>
      <c r="S25" s="28"/>
      <c r="T25" s="28"/>
      <c r="U25" s="28"/>
      <c r="V25" s="28"/>
      <c r="W25" s="28"/>
      <c r="X25" s="28"/>
      <c r="Y25" s="28"/>
      <c r="Z25" s="28"/>
    </row>
    <row r="26" ht="28.5" customHeight="1">
      <c r="A26" s="49" t="s">
        <v>1637</v>
      </c>
      <c r="B26" s="23"/>
      <c r="C26" s="23"/>
      <c r="D26" s="23"/>
      <c r="E26" s="23"/>
      <c r="F26" s="23"/>
      <c r="G26" s="23"/>
      <c r="H26" s="23"/>
      <c r="I26" s="23"/>
      <c r="J26" s="23"/>
      <c r="K26" s="23"/>
      <c r="L26" s="23"/>
      <c r="M26" s="23"/>
      <c r="N26" s="23"/>
      <c r="O26" s="23"/>
      <c r="P26" s="23"/>
      <c r="Q26" s="23"/>
      <c r="R26" s="23"/>
      <c r="S26" s="23"/>
      <c r="T26" s="23"/>
      <c r="U26" s="23"/>
      <c r="V26" s="23"/>
      <c r="W26" s="23"/>
      <c r="X26" s="23"/>
      <c r="Y26" s="23"/>
      <c r="Z26" s="24"/>
    </row>
    <row r="27">
      <c r="A27" s="38" t="s">
        <v>1638</v>
      </c>
      <c r="B27" s="38" t="s">
        <v>48</v>
      </c>
      <c r="C27" s="64" t="s">
        <v>1639</v>
      </c>
      <c r="D27" s="52" t="s">
        <v>1388</v>
      </c>
      <c r="E27" s="64" t="s">
        <v>1452</v>
      </c>
      <c r="F27" s="64" t="s">
        <v>1640</v>
      </c>
      <c r="G27" s="64" t="s">
        <v>1454</v>
      </c>
      <c r="H27" s="45" t="s">
        <v>1641</v>
      </c>
      <c r="I27" s="64" t="s">
        <v>1642</v>
      </c>
      <c r="J27" s="45" t="s">
        <v>1643</v>
      </c>
      <c r="K27" s="38" t="s">
        <v>91</v>
      </c>
      <c r="L27" s="38" t="s">
        <v>127</v>
      </c>
      <c r="M27" s="38" t="s">
        <v>127</v>
      </c>
      <c r="N27" s="64"/>
      <c r="O27" s="64" t="s">
        <v>93</v>
      </c>
      <c r="P27" s="28"/>
      <c r="Q27" s="28"/>
      <c r="R27" s="28"/>
      <c r="S27" s="28"/>
      <c r="T27" s="28"/>
      <c r="U27" s="28"/>
      <c r="V27" s="28"/>
      <c r="W27" s="28"/>
      <c r="X27" s="28"/>
      <c r="Y27" s="28"/>
      <c r="Z27" s="28"/>
    </row>
    <row r="28">
      <c r="A28" s="38" t="s">
        <v>1644</v>
      </c>
      <c r="B28" s="38" t="s">
        <v>48</v>
      </c>
      <c r="C28" s="64" t="s">
        <v>1645</v>
      </c>
      <c r="D28" s="52" t="s">
        <v>1388</v>
      </c>
      <c r="E28" s="64" t="s">
        <v>1452</v>
      </c>
      <c r="F28" s="64" t="s">
        <v>1646</v>
      </c>
      <c r="G28" s="64" t="s">
        <v>300</v>
      </c>
      <c r="H28" s="64" t="s">
        <v>1647</v>
      </c>
      <c r="I28" s="64" t="s">
        <v>1648</v>
      </c>
      <c r="J28" s="45" t="s">
        <v>1649</v>
      </c>
      <c r="K28" s="38" t="s">
        <v>91</v>
      </c>
      <c r="L28" s="38" t="s">
        <v>127</v>
      </c>
      <c r="M28" s="38" t="s">
        <v>127</v>
      </c>
      <c r="N28" s="64"/>
      <c r="O28" s="64" t="s">
        <v>1650</v>
      </c>
      <c r="P28" s="28"/>
      <c r="Q28" s="28"/>
      <c r="R28" s="28"/>
      <c r="S28" s="28"/>
      <c r="T28" s="28"/>
      <c r="U28" s="28"/>
      <c r="V28" s="28"/>
      <c r="W28" s="28"/>
      <c r="X28" s="28"/>
      <c r="Y28" s="28"/>
      <c r="Z28" s="28"/>
    </row>
    <row r="29">
      <c r="A29" s="38" t="s">
        <v>1651</v>
      </c>
      <c r="B29" s="38" t="s">
        <v>48</v>
      </c>
      <c r="C29" s="64" t="s">
        <v>1652</v>
      </c>
      <c r="D29" s="52" t="s">
        <v>1388</v>
      </c>
      <c r="E29" s="64" t="s">
        <v>1452</v>
      </c>
      <c r="F29" s="64" t="s">
        <v>1653</v>
      </c>
      <c r="G29" s="64" t="s">
        <v>1654</v>
      </c>
      <c r="H29" s="64" t="s">
        <v>97</v>
      </c>
      <c r="I29" s="64" t="s">
        <v>871</v>
      </c>
      <c r="J29" s="45" t="s">
        <v>144</v>
      </c>
      <c r="K29" s="38" t="s">
        <v>91</v>
      </c>
      <c r="L29" s="38" t="s">
        <v>127</v>
      </c>
      <c r="M29" s="38" t="s">
        <v>127</v>
      </c>
      <c r="N29" s="64"/>
      <c r="O29" s="64" t="s">
        <v>1655</v>
      </c>
      <c r="P29" s="28"/>
      <c r="Q29" s="28"/>
      <c r="R29" s="28"/>
      <c r="S29" s="28"/>
      <c r="T29" s="28"/>
      <c r="U29" s="28"/>
      <c r="V29" s="28"/>
      <c r="W29" s="28"/>
      <c r="X29" s="28"/>
      <c r="Y29" s="28"/>
      <c r="Z29" s="28"/>
    </row>
    <row r="30">
      <c r="A30" s="38" t="s">
        <v>1656</v>
      </c>
      <c r="B30" s="38" t="s">
        <v>48</v>
      </c>
      <c r="C30" s="64" t="s">
        <v>1657</v>
      </c>
      <c r="D30" s="52" t="s">
        <v>1388</v>
      </c>
      <c r="E30" s="64" t="s">
        <v>1452</v>
      </c>
      <c r="F30" s="64" t="s">
        <v>1653</v>
      </c>
      <c r="G30" s="64" t="s">
        <v>1659</v>
      </c>
      <c r="H30" s="64" t="s">
        <v>97</v>
      </c>
      <c r="I30" s="64" t="s">
        <v>871</v>
      </c>
      <c r="J30" s="45" t="s">
        <v>1661</v>
      </c>
      <c r="K30" s="38" t="s">
        <v>91</v>
      </c>
      <c r="L30" s="38" t="s">
        <v>127</v>
      </c>
      <c r="M30" s="38" t="s">
        <v>127</v>
      </c>
      <c r="N30" s="64"/>
      <c r="O30" s="64" t="s">
        <v>402</v>
      </c>
      <c r="P30" s="28"/>
      <c r="Q30" s="28"/>
      <c r="R30" s="28"/>
      <c r="S30" s="28"/>
      <c r="T30" s="28"/>
      <c r="U30" s="28"/>
      <c r="V30" s="28"/>
      <c r="W30" s="28"/>
      <c r="X30" s="28"/>
      <c r="Y30" s="28"/>
      <c r="Z30" s="28"/>
    </row>
    <row r="31">
      <c r="A31" s="38" t="s">
        <v>1666</v>
      </c>
      <c r="B31" s="38" t="s">
        <v>48</v>
      </c>
      <c r="C31" s="64" t="s">
        <v>1667</v>
      </c>
      <c r="D31" s="52" t="s">
        <v>1388</v>
      </c>
      <c r="E31" s="64" t="s">
        <v>1452</v>
      </c>
      <c r="F31" s="64" t="s">
        <v>1668</v>
      </c>
      <c r="G31" s="64" t="s">
        <v>300</v>
      </c>
      <c r="H31" s="64" t="s">
        <v>97</v>
      </c>
      <c r="I31" s="64" t="s">
        <v>1669</v>
      </c>
      <c r="J31" s="45" t="s">
        <v>144</v>
      </c>
      <c r="K31" s="38" t="s">
        <v>91</v>
      </c>
      <c r="L31" s="38" t="s">
        <v>127</v>
      </c>
      <c r="M31" s="38" t="s">
        <v>127</v>
      </c>
      <c r="N31" s="64"/>
      <c r="O31" s="64" t="s">
        <v>281</v>
      </c>
      <c r="P31" s="28"/>
      <c r="Q31" s="28"/>
      <c r="R31" s="28"/>
      <c r="S31" s="28"/>
      <c r="T31" s="28"/>
      <c r="U31" s="28"/>
      <c r="V31" s="28"/>
      <c r="W31" s="28"/>
      <c r="X31" s="28"/>
      <c r="Y31" s="28"/>
      <c r="Z31" s="28"/>
    </row>
    <row r="32">
      <c r="A32" s="38" t="s">
        <v>1672</v>
      </c>
      <c r="B32" s="38" t="s">
        <v>48</v>
      </c>
      <c r="C32" s="64" t="s">
        <v>1675</v>
      </c>
      <c r="D32" s="52" t="s">
        <v>1388</v>
      </c>
      <c r="E32" s="64" t="s">
        <v>1452</v>
      </c>
      <c r="F32" s="64" t="s">
        <v>1678</v>
      </c>
      <c r="G32" s="64" t="s">
        <v>300</v>
      </c>
      <c r="H32" s="64" t="s">
        <v>97</v>
      </c>
      <c r="I32" s="64" t="s">
        <v>1679</v>
      </c>
      <c r="J32" s="45" t="s">
        <v>144</v>
      </c>
      <c r="K32" s="38" t="s">
        <v>91</v>
      </c>
      <c r="L32" s="38" t="s">
        <v>127</v>
      </c>
      <c r="M32" s="38" t="s">
        <v>127</v>
      </c>
      <c r="N32" s="64"/>
      <c r="O32" s="64" t="s">
        <v>1499</v>
      </c>
      <c r="P32" s="28"/>
      <c r="Q32" s="28"/>
      <c r="R32" s="28"/>
      <c r="S32" s="28"/>
      <c r="T32" s="28"/>
      <c r="U32" s="28"/>
      <c r="V32" s="28"/>
      <c r="W32" s="28"/>
      <c r="X32" s="28"/>
      <c r="Y32" s="28"/>
      <c r="Z32" s="28"/>
    </row>
    <row r="33">
      <c r="A33" s="38" t="s">
        <v>1683</v>
      </c>
      <c r="B33" s="38" t="s">
        <v>48</v>
      </c>
      <c r="C33" s="64" t="s">
        <v>1685</v>
      </c>
      <c r="D33" s="52" t="s">
        <v>1388</v>
      </c>
      <c r="E33" s="64" t="s">
        <v>1452</v>
      </c>
      <c r="F33" s="64" t="s">
        <v>1653</v>
      </c>
      <c r="G33" s="64" t="s">
        <v>203</v>
      </c>
      <c r="H33" s="64" t="s">
        <v>1555</v>
      </c>
      <c r="I33" s="64" t="s">
        <v>556</v>
      </c>
      <c r="J33" s="45" t="s">
        <v>1687</v>
      </c>
      <c r="K33" s="38" t="s">
        <v>91</v>
      </c>
      <c r="L33" s="38" t="s">
        <v>127</v>
      </c>
      <c r="M33" s="38" t="s">
        <v>127</v>
      </c>
      <c r="N33" s="64"/>
      <c r="O33" s="64" t="s">
        <v>206</v>
      </c>
      <c r="P33" s="28"/>
      <c r="Q33" s="28"/>
      <c r="R33" s="28"/>
      <c r="S33" s="28"/>
      <c r="T33" s="28"/>
      <c r="U33" s="28"/>
      <c r="V33" s="28"/>
      <c r="W33" s="28"/>
      <c r="X33" s="28"/>
      <c r="Y33" s="28"/>
      <c r="Z33" s="28"/>
    </row>
    <row r="34">
      <c r="A34" s="38" t="s">
        <v>1693</v>
      </c>
      <c r="B34" s="38" t="s">
        <v>48</v>
      </c>
      <c r="C34" s="64" t="s">
        <v>1694</v>
      </c>
      <c r="D34" s="52" t="s">
        <v>1388</v>
      </c>
      <c r="E34" s="64" t="s">
        <v>1452</v>
      </c>
      <c r="F34" s="64" t="s">
        <v>1653</v>
      </c>
      <c r="G34" s="64" t="s">
        <v>242</v>
      </c>
      <c r="H34" s="64" t="s">
        <v>97</v>
      </c>
      <c r="I34" s="64" t="s">
        <v>556</v>
      </c>
      <c r="J34" s="45" t="s">
        <v>1696</v>
      </c>
      <c r="K34" s="38" t="s">
        <v>91</v>
      </c>
      <c r="L34" s="38" t="s">
        <v>127</v>
      </c>
      <c r="M34" s="38" t="s">
        <v>127</v>
      </c>
      <c r="N34" s="64"/>
      <c r="O34" s="64" t="s">
        <v>1572</v>
      </c>
      <c r="P34" s="28"/>
      <c r="Q34" s="28"/>
      <c r="R34" s="28"/>
      <c r="S34" s="28"/>
      <c r="T34" s="28"/>
      <c r="U34" s="28"/>
      <c r="V34" s="28"/>
      <c r="W34" s="28"/>
      <c r="X34" s="28"/>
      <c r="Y34" s="28"/>
      <c r="Z34" s="28"/>
    </row>
    <row r="35">
      <c r="A35" s="38" t="s">
        <v>1700</v>
      </c>
      <c r="B35" s="38" t="s">
        <v>48</v>
      </c>
      <c r="C35" s="64" t="s">
        <v>1701</v>
      </c>
      <c r="D35" s="52" t="s">
        <v>1388</v>
      </c>
      <c r="E35" s="64" t="s">
        <v>1452</v>
      </c>
      <c r="F35" s="64" t="s">
        <v>1653</v>
      </c>
      <c r="G35" s="64" t="s">
        <v>1704</v>
      </c>
      <c r="H35" s="64" t="s">
        <v>97</v>
      </c>
      <c r="I35" s="64" t="s">
        <v>562</v>
      </c>
      <c r="J35" s="64"/>
      <c r="K35" s="38" t="s">
        <v>172</v>
      </c>
      <c r="L35" s="38" t="s">
        <v>127</v>
      </c>
      <c r="M35" s="38" t="s">
        <v>127</v>
      </c>
      <c r="N35" s="64"/>
      <c r="O35" s="64" t="s">
        <v>402</v>
      </c>
      <c r="P35" s="28"/>
      <c r="Q35" s="28"/>
      <c r="R35" s="28"/>
      <c r="S35" s="28"/>
      <c r="T35" s="28"/>
      <c r="U35" s="28"/>
      <c r="V35" s="28"/>
      <c r="W35" s="28"/>
      <c r="X35" s="28"/>
      <c r="Y35" s="28"/>
      <c r="Z35" s="28"/>
    </row>
    <row r="36">
      <c r="A36" s="38" t="s">
        <v>1711</v>
      </c>
      <c r="B36" s="38" t="s">
        <v>48</v>
      </c>
      <c r="C36" s="64" t="s">
        <v>1714</v>
      </c>
      <c r="D36" s="52" t="s">
        <v>1388</v>
      </c>
      <c r="E36" s="64" t="s">
        <v>1452</v>
      </c>
      <c r="F36" s="64" t="s">
        <v>1653</v>
      </c>
      <c r="G36" s="64" t="s">
        <v>300</v>
      </c>
      <c r="H36" s="64" t="s">
        <v>97</v>
      </c>
      <c r="I36" s="64" t="s">
        <v>578</v>
      </c>
      <c r="J36" s="45" t="s">
        <v>1716</v>
      </c>
      <c r="K36" s="38" t="s">
        <v>91</v>
      </c>
      <c r="L36" s="38" t="s">
        <v>127</v>
      </c>
      <c r="M36" s="38" t="s">
        <v>127</v>
      </c>
      <c r="N36" s="64"/>
      <c r="O36" s="64" t="s">
        <v>387</v>
      </c>
      <c r="P36" s="28"/>
      <c r="Q36" s="28"/>
      <c r="R36" s="28"/>
      <c r="S36" s="28"/>
      <c r="T36" s="28"/>
      <c r="U36" s="28"/>
      <c r="V36" s="28"/>
      <c r="W36" s="28"/>
      <c r="X36" s="28"/>
      <c r="Y36" s="28"/>
      <c r="Z36" s="28"/>
    </row>
    <row r="37">
      <c r="A37" s="38" t="s">
        <v>1723</v>
      </c>
      <c r="B37" s="38" t="s">
        <v>48</v>
      </c>
      <c r="C37" s="64" t="s">
        <v>1724</v>
      </c>
      <c r="D37" s="52" t="s">
        <v>1388</v>
      </c>
      <c r="E37" s="64" t="s">
        <v>1452</v>
      </c>
      <c r="F37" s="64" t="s">
        <v>1725</v>
      </c>
      <c r="G37" s="64" t="s">
        <v>300</v>
      </c>
      <c r="H37" s="64" t="s">
        <v>97</v>
      </c>
      <c r="I37" s="64" t="s">
        <v>1726</v>
      </c>
      <c r="J37" s="45" t="s">
        <v>1595</v>
      </c>
      <c r="K37" s="38" t="s">
        <v>91</v>
      </c>
      <c r="L37" s="38" t="s">
        <v>127</v>
      </c>
      <c r="M37" s="38" t="s">
        <v>127</v>
      </c>
      <c r="N37" s="64"/>
      <c r="O37" s="64" t="s">
        <v>1596</v>
      </c>
      <c r="P37" s="28"/>
      <c r="Q37" s="28"/>
      <c r="R37" s="28"/>
      <c r="S37" s="28"/>
      <c r="T37" s="28"/>
      <c r="U37" s="28"/>
      <c r="V37" s="28"/>
      <c r="W37" s="28"/>
      <c r="X37" s="28"/>
      <c r="Y37" s="28"/>
      <c r="Z37" s="28"/>
    </row>
    <row r="38">
      <c r="A38" s="38" t="s">
        <v>1733</v>
      </c>
      <c r="B38" s="38" t="s">
        <v>48</v>
      </c>
      <c r="C38" s="64" t="s">
        <v>1599</v>
      </c>
      <c r="D38" s="52" t="s">
        <v>1388</v>
      </c>
      <c r="E38" s="64" t="s">
        <v>1601</v>
      </c>
      <c r="F38" s="64" t="s">
        <v>1653</v>
      </c>
      <c r="G38" s="64" t="s">
        <v>300</v>
      </c>
      <c r="H38" s="64" t="s">
        <v>97</v>
      </c>
      <c r="I38" s="64" t="s">
        <v>578</v>
      </c>
      <c r="J38" s="45" t="s">
        <v>144</v>
      </c>
      <c r="K38" s="38" t="s">
        <v>91</v>
      </c>
      <c r="L38" s="38" t="s">
        <v>127</v>
      </c>
      <c r="M38" s="38" t="s">
        <v>127</v>
      </c>
      <c r="N38" s="64"/>
      <c r="O38" s="64" t="s">
        <v>1607</v>
      </c>
      <c r="P38" s="28"/>
      <c r="Q38" s="28"/>
      <c r="R38" s="28"/>
      <c r="S38" s="28"/>
      <c r="T38" s="28"/>
      <c r="U38" s="28"/>
      <c r="V38" s="28"/>
      <c r="W38" s="28"/>
      <c r="X38" s="28"/>
      <c r="Y38" s="28"/>
      <c r="Z38" s="28"/>
    </row>
    <row r="39">
      <c r="A39" s="38" t="s">
        <v>1743</v>
      </c>
      <c r="B39" s="38" t="s">
        <v>48</v>
      </c>
      <c r="C39" s="64" t="s">
        <v>1744</v>
      </c>
      <c r="D39" s="52" t="s">
        <v>1388</v>
      </c>
      <c r="E39" s="64" t="s">
        <v>1452</v>
      </c>
      <c r="F39" s="64" t="s">
        <v>1745</v>
      </c>
      <c r="G39" s="64" t="s">
        <v>300</v>
      </c>
      <c r="H39" s="64" t="s">
        <v>97</v>
      </c>
      <c r="I39" s="64" t="s">
        <v>1746</v>
      </c>
      <c r="J39" s="45" t="s">
        <v>1747</v>
      </c>
      <c r="K39" s="38" t="s">
        <v>91</v>
      </c>
      <c r="L39" s="38" t="s">
        <v>127</v>
      </c>
      <c r="M39" s="38" t="s">
        <v>127</v>
      </c>
      <c r="N39" s="64"/>
      <c r="O39" s="64" t="s">
        <v>1748</v>
      </c>
      <c r="P39" s="28"/>
      <c r="Q39" s="28"/>
      <c r="R39" s="28"/>
      <c r="S39" s="28"/>
      <c r="T39" s="28"/>
      <c r="U39" s="28"/>
      <c r="V39" s="28"/>
      <c r="W39" s="28"/>
      <c r="X39" s="28"/>
      <c r="Y39" s="28"/>
      <c r="Z39" s="28"/>
    </row>
    <row r="40">
      <c r="A40" s="38" t="s">
        <v>1750</v>
      </c>
      <c r="B40" s="38" t="s">
        <v>48</v>
      </c>
      <c r="C40" s="64" t="s">
        <v>1710</v>
      </c>
      <c r="D40" s="52" t="s">
        <v>1388</v>
      </c>
      <c r="E40" s="64" t="s">
        <v>1452</v>
      </c>
      <c r="F40" s="64" t="s">
        <v>1751</v>
      </c>
      <c r="G40" s="64" t="s">
        <v>300</v>
      </c>
      <c r="H40" s="64" t="s">
        <v>97</v>
      </c>
      <c r="I40" s="64" t="s">
        <v>1746</v>
      </c>
      <c r="J40" s="45" t="s">
        <v>144</v>
      </c>
      <c r="K40" s="38" t="s">
        <v>91</v>
      </c>
      <c r="L40" s="38" t="s">
        <v>127</v>
      </c>
      <c r="M40" s="38" t="s">
        <v>127</v>
      </c>
      <c r="N40" s="64"/>
      <c r="O40" s="64" t="s">
        <v>496</v>
      </c>
      <c r="P40" s="28"/>
      <c r="Q40" s="28"/>
      <c r="R40" s="28"/>
      <c r="S40" s="28"/>
      <c r="T40" s="28"/>
      <c r="U40" s="28"/>
      <c r="V40" s="28"/>
      <c r="W40" s="28"/>
      <c r="X40" s="28"/>
      <c r="Y40" s="28"/>
      <c r="Z40" s="28"/>
    </row>
    <row r="41">
      <c r="A41" s="38" t="s">
        <v>1757</v>
      </c>
      <c r="B41" s="38" t="s">
        <v>48</v>
      </c>
      <c r="C41" s="64" t="s">
        <v>1759</v>
      </c>
      <c r="D41" s="52" t="s">
        <v>1388</v>
      </c>
      <c r="E41" s="64" t="s">
        <v>1452</v>
      </c>
      <c r="F41" s="64" t="s">
        <v>1760</v>
      </c>
      <c r="G41" s="64" t="s">
        <v>300</v>
      </c>
      <c r="H41" s="64" t="s">
        <v>97</v>
      </c>
      <c r="I41" s="64" t="s">
        <v>1746</v>
      </c>
      <c r="J41" s="45" t="s">
        <v>144</v>
      </c>
      <c r="K41" s="38" t="s">
        <v>91</v>
      </c>
      <c r="L41" s="38" t="s">
        <v>127</v>
      </c>
      <c r="M41" s="38" t="s">
        <v>127</v>
      </c>
      <c r="N41" s="64"/>
      <c r="O41" s="64" t="s">
        <v>496</v>
      </c>
      <c r="P41" s="28"/>
      <c r="Q41" s="28"/>
      <c r="R41" s="28"/>
      <c r="S41" s="28"/>
      <c r="T41" s="28"/>
      <c r="U41" s="28"/>
      <c r="V41" s="28"/>
      <c r="W41" s="28"/>
      <c r="X41" s="28"/>
      <c r="Y41" s="28"/>
      <c r="Z41" s="28"/>
    </row>
    <row r="42">
      <c r="A42" s="38" t="s">
        <v>1765</v>
      </c>
      <c r="B42" s="38" t="s">
        <v>48</v>
      </c>
      <c r="C42" s="64" t="s">
        <v>1766</v>
      </c>
      <c r="D42" s="52" t="s">
        <v>1388</v>
      </c>
      <c r="E42" s="64" t="s">
        <v>1452</v>
      </c>
      <c r="F42" s="64" t="s">
        <v>1767</v>
      </c>
      <c r="G42" s="64" t="s">
        <v>300</v>
      </c>
      <c r="H42" s="64" t="s">
        <v>97</v>
      </c>
      <c r="I42" s="64" t="s">
        <v>1746</v>
      </c>
      <c r="J42" s="45" t="s">
        <v>144</v>
      </c>
      <c r="K42" s="38" t="s">
        <v>91</v>
      </c>
      <c r="L42" s="38" t="s">
        <v>127</v>
      </c>
      <c r="M42" s="38" t="s">
        <v>127</v>
      </c>
      <c r="N42" s="64"/>
      <c r="O42" s="64" t="s">
        <v>1769</v>
      </c>
      <c r="P42" s="28"/>
      <c r="Q42" s="28"/>
      <c r="R42" s="28"/>
      <c r="S42" s="28"/>
      <c r="T42" s="28"/>
      <c r="U42" s="28"/>
      <c r="V42" s="28"/>
      <c r="W42" s="28"/>
      <c r="X42" s="28"/>
      <c r="Y42" s="28"/>
      <c r="Z42" s="28"/>
    </row>
    <row r="43">
      <c r="A43" s="38" t="s">
        <v>1773</v>
      </c>
      <c r="B43" s="38" t="s">
        <v>48</v>
      </c>
      <c r="C43" s="64" t="s">
        <v>1774</v>
      </c>
      <c r="D43" s="52" t="s">
        <v>1388</v>
      </c>
      <c r="E43" s="64" t="s">
        <v>1452</v>
      </c>
      <c r="F43" s="64" t="s">
        <v>1775</v>
      </c>
      <c r="G43" s="64" t="s">
        <v>300</v>
      </c>
      <c r="H43" s="64" t="s">
        <v>97</v>
      </c>
      <c r="I43" s="64" t="s">
        <v>1746</v>
      </c>
      <c r="J43" s="45" t="s">
        <v>1778</v>
      </c>
      <c r="K43" s="38" t="s">
        <v>802</v>
      </c>
      <c r="L43" s="38" t="s">
        <v>127</v>
      </c>
      <c r="M43" s="38" t="s">
        <v>127</v>
      </c>
      <c r="N43" s="64"/>
      <c r="O43" s="64" t="s">
        <v>1619</v>
      </c>
      <c r="P43" s="28"/>
      <c r="Q43" s="28"/>
      <c r="R43" s="28"/>
      <c r="S43" s="28"/>
      <c r="T43" s="28"/>
      <c r="U43" s="28"/>
      <c r="V43" s="28"/>
      <c r="W43" s="28"/>
      <c r="X43" s="28"/>
      <c r="Y43" s="28"/>
      <c r="Z43" s="28"/>
    </row>
    <row r="44">
      <c r="A44" s="38" t="s">
        <v>1782</v>
      </c>
      <c r="B44" s="38" t="s">
        <v>48</v>
      </c>
      <c r="C44" s="64" t="s">
        <v>1783</v>
      </c>
      <c r="D44" s="52" t="s">
        <v>1388</v>
      </c>
      <c r="E44" s="64" t="s">
        <v>1452</v>
      </c>
      <c r="F44" s="64" t="s">
        <v>1784</v>
      </c>
      <c r="G44" s="64" t="s">
        <v>300</v>
      </c>
      <c r="H44" s="64" t="s">
        <v>97</v>
      </c>
      <c r="I44" s="64" t="s">
        <v>1746</v>
      </c>
      <c r="J44" s="45" t="s">
        <v>144</v>
      </c>
      <c r="K44" s="38" t="s">
        <v>172</v>
      </c>
      <c r="L44" s="38" t="s">
        <v>127</v>
      </c>
      <c r="M44" s="38" t="s">
        <v>127</v>
      </c>
      <c r="N44" s="64"/>
      <c r="O44" s="64" t="s">
        <v>1790</v>
      </c>
      <c r="P44" s="28"/>
      <c r="Q44" s="28"/>
      <c r="R44" s="28"/>
      <c r="S44" s="28"/>
      <c r="T44" s="28"/>
      <c r="U44" s="28"/>
      <c r="V44" s="28"/>
      <c r="W44" s="28"/>
      <c r="X44" s="28"/>
      <c r="Y44" s="28"/>
      <c r="Z44" s="28"/>
    </row>
    <row r="45">
      <c r="A45" s="38" t="s">
        <v>1791</v>
      </c>
      <c r="B45" s="38" t="s">
        <v>48</v>
      </c>
      <c r="C45" s="64" t="s">
        <v>1792</v>
      </c>
      <c r="D45" s="52" t="s">
        <v>1388</v>
      </c>
      <c r="E45" s="64" t="s">
        <v>1452</v>
      </c>
      <c r="F45" s="64" t="s">
        <v>1793</v>
      </c>
      <c r="G45" s="64" t="s">
        <v>300</v>
      </c>
      <c r="H45" s="64" t="s">
        <v>97</v>
      </c>
      <c r="I45" s="64" t="s">
        <v>1746</v>
      </c>
      <c r="J45" s="45" t="s">
        <v>144</v>
      </c>
      <c r="K45" s="38" t="s">
        <v>172</v>
      </c>
      <c r="L45" s="38" t="s">
        <v>127</v>
      </c>
      <c r="M45" s="38" t="s">
        <v>127</v>
      </c>
      <c r="N45" s="64"/>
      <c r="O45" s="64" t="s">
        <v>1790</v>
      </c>
      <c r="P45" s="28"/>
      <c r="Q45" s="28"/>
      <c r="R45" s="28"/>
      <c r="S45" s="28"/>
      <c r="T45" s="28"/>
      <c r="U45" s="28"/>
      <c r="V45" s="28"/>
      <c r="W45" s="28"/>
      <c r="X45" s="28"/>
      <c r="Y45" s="28"/>
      <c r="Z45" s="28"/>
    </row>
    <row r="46">
      <c r="A46" s="38" t="s">
        <v>1798</v>
      </c>
      <c r="B46" s="38" t="s">
        <v>48</v>
      </c>
      <c r="C46" s="64" t="s">
        <v>815</v>
      </c>
      <c r="D46" s="52" t="s">
        <v>1388</v>
      </c>
      <c r="E46" s="64" t="s">
        <v>1452</v>
      </c>
      <c r="F46" s="64" t="s">
        <v>1800</v>
      </c>
      <c r="G46" s="64" t="s">
        <v>300</v>
      </c>
      <c r="H46" s="64" t="s">
        <v>97</v>
      </c>
      <c r="I46" s="64" t="s">
        <v>1746</v>
      </c>
      <c r="J46" s="45" t="s">
        <v>144</v>
      </c>
      <c r="K46" s="38" t="s">
        <v>172</v>
      </c>
      <c r="L46" s="38" t="s">
        <v>127</v>
      </c>
      <c r="M46" s="38" t="s">
        <v>127</v>
      </c>
      <c r="N46" s="64"/>
      <c r="O46" s="64" t="s">
        <v>1790</v>
      </c>
      <c r="P46" s="28"/>
      <c r="Q46" s="28"/>
      <c r="R46" s="28"/>
      <c r="S46" s="28"/>
      <c r="T46" s="28"/>
      <c r="U46" s="28"/>
      <c r="V46" s="28"/>
      <c r="W46" s="28"/>
      <c r="X46" s="28"/>
      <c r="Y46" s="28"/>
      <c r="Z46" s="28"/>
    </row>
    <row r="47">
      <c r="A47" s="38" t="s">
        <v>1802</v>
      </c>
      <c r="B47" s="38" t="s">
        <v>48</v>
      </c>
      <c r="C47" s="64" t="s">
        <v>1804</v>
      </c>
      <c r="D47" s="52" t="s">
        <v>1388</v>
      </c>
      <c r="E47" s="64" t="s">
        <v>1452</v>
      </c>
      <c r="F47" s="64" t="s">
        <v>1805</v>
      </c>
      <c r="G47" s="64" t="s">
        <v>300</v>
      </c>
      <c r="H47" s="64" t="s">
        <v>97</v>
      </c>
      <c r="I47" s="64" t="s">
        <v>1806</v>
      </c>
      <c r="J47" s="45" t="s">
        <v>1807</v>
      </c>
      <c r="K47" s="38" t="s">
        <v>91</v>
      </c>
      <c r="L47" s="38" t="s">
        <v>127</v>
      </c>
      <c r="M47" s="38" t="s">
        <v>127</v>
      </c>
      <c r="N47" s="64"/>
      <c r="O47" s="64" t="s">
        <v>1809</v>
      </c>
      <c r="P47" s="28"/>
      <c r="Q47" s="28"/>
      <c r="R47" s="28"/>
      <c r="S47" s="28"/>
      <c r="T47" s="28"/>
      <c r="U47" s="28"/>
      <c r="V47" s="28"/>
      <c r="W47" s="28"/>
      <c r="X47" s="28"/>
      <c r="Y47" s="28"/>
      <c r="Z47" s="28"/>
    </row>
    <row r="48">
      <c r="A48" s="38" t="s">
        <v>1811</v>
      </c>
      <c r="B48" s="38" t="s">
        <v>48</v>
      </c>
      <c r="C48" s="64" t="s">
        <v>506</v>
      </c>
      <c r="D48" s="52" t="s">
        <v>1388</v>
      </c>
      <c r="E48" s="64" t="s">
        <v>1452</v>
      </c>
      <c r="F48" s="64" t="s">
        <v>1653</v>
      </c>
      <c r="G48" s="64" t="s">
        <v>300</v>
      </c>
      <c r="H48" s="64" t="s">
        <v>97</v>
      </c>
      <c r="I48" s="64" t="s">
        <v>1814</v>
      </c>
      <c r="J48" s="45" t="s">
        <v>144</v>
      </c>
      <c r="K48" s="38" t="s">
        <v>91</v>
      </c>
      <c r="L48" s="38" t="s">
        <v>127</v>
      </c>
      <c r="M48" s="38" t="s">
        <v>127</v>
      </c>
      <c r="N48" s="64"/>
      <c r="O48" s="64" t="s">
        <v>1816</v>
      </c>
      <c r="P48" s="28"/>
      <c r="Q48" s="28"/>
      <c r="R48" s="28"/>
      <c r="S48" s="28"/>
      <c r="T48" s="28"/>
      <c r="U48" s="28"/>
      <c r="V48" s="28"/>
      <c r="W48" s="28"/>
      <c r="X48" s="28"/>
      <c r="Y48" s="28"/>
      <c r="Z48" s="28"/>
    </row>
    <row r="49">
      <c r="A49" s="38" t="s">
        <v>1818</v>
      </c>
      <c r="B49" s="38" t="s">
        <v>48</v>
      </c>
      <c r="C49" s="64" t="s">
        <v>994</v>
      </c>
      <c r="D49" s="52" t="s">
        <v>1388</v>
      </c>
      <c r="E49" s="64" t="s">
        <v>1452</v>
      </c>
      <c r="F49" s="64" t="s">
        <v>1821</v>
      </c>
      <c r="G49" s="64" t="s">
        <v>300</v>
      </c>
      <c r="H49" s="64" t="s">
        <v>1822</v>
      </c>
      <c r="I49" s="64" t="s">
        <v>1824</v>
      </c>
      <c r="J49" s="45" t="s">
        <v>144</v>
      </c>
      <c r="K49" s="38" t="s">
        <v>91</v>
      </c>
      <c r="L49" s="38" t="s">
        <v>127</v>
      </c>
      <c r="M49" s="38" t="s">
        <v>127</v>
      </c>
      <c r="N49" s="64"/>
      <c r="O49" s="64" t="s">
        <v>1826</v>
      </c>
      <c r="P49" s="28"/>
      <c r="Q49" s="28"/>
      <c r="R49" s="28"/>
      <c r="S49" s="28"/>
      <c r="T49" s="28"/>
      <c r="U49" s="28"/>
      <c r="V49" s="28"/>
      <c r="W49" s="28"/>
      <c r="X49" s="28"/>
      <c r="Y49" s="28"/>
      <c r="Z49" s="28"/>
    </row>
    <row r="50">
      <c r="A50" s="38" t="s">
        <v>1830</v>
      </c>
      <c r="B50" s="38" t="s">
        <v>48</v>
      </c>
      <c r="C50" s="64" t="s">
        <v>1628</v>
      </c>
      <c r="D50" s="52" t="s">
        <v>1388</v>
      </c>
      <c r="E50" s="64" t="s">
        <v>1452</v>
      </c>
      <c r="F50" s="64" t="s">
        <v>1653</v>
      </c>
      <c r="G50" s="64" t="s">
        <v>300</v>
      </c>
      <c r="H50" s="64" t="s">
        <v>97</v>
      </c>
      <c r="I50" s="64" t="s">
        <v>568</v>
      </c>
      <c r="J50" s="45" t="s">
        <v>144</v>
      </c>
      <c r="K50" s="38" t="s">
        <v>91</v>
      </c>
      <c r="L50" s="38" t="s">
        <v>127</v>
      </c>
      <c r="M50" s="38" t="s">
        <v>127</v>
      </c>
      <c r="N50" s="64"/>
      <c r="O50" s="64" t="s">
        <v>278</v>
      </c>
      <c r="P50" s="28"/>
      <c r="Q50" s="28"/>
      <c r="R50" s="28"/>
      <c r="S50" s="28"/>
      <c r="T50" s="28"/>
      <c r="U50" s="28"/>
      <c r="V50" s="28"/>
      <c r="W50" s="28"/>
      <c r="X50" s="28"/>
      <c r="Y50" s="28"/>
      <c r="Z50" s="28"/>
    </row>
    <row r="51" ht="36.0" customHeight="1">
      <c r="A51" s="49" t="s">
        <v>1840</v>
      </c>
      <c r="B51" s="23"/>
      <c r="C51" s="23"/>
      <c r="D51" s="23"/>
      <c r="E51" s="23"/>
      <c r="F51" s="23"/>
      <c r="G51" s="23"/>
      <c r="H51" s="23"/>
      <c r="I51" s="23"/>
      <c r="J51" s="23"/>
      <c r="K51" s="23"/>
      <c r="L51" s="23"/>
      <c r="M51" s="23"/>
      <c r="N51" s="23"/>
      <c r="O51" s="23"/>
      <c r="P51" s="23"/>
      <c r="Q51" s="23"/>
      <c r="R51" s="23"/>
      <c r="S51" s="23"/>
      <c r="T51" s="23"/>
      <c r="U51" s="23"/>
      <c r="V51" s="23"/>
      <c r="W51" s="23"/>
      <c r="X51" s="23"/>
      <c r="Y51" s="23"/>
      <c r="Z51" s="24"/>
    </row>
    <row r="52">
      <c r="A52" s="38" t="s">
        <v>1845</v>
      </c>
      <c r="B52" s="38" t="s">
        <v>48</v>
      </c>
      <c r="C52" s="64" t="s">
        <v>1848</v>
      </c>
      <c r="D52" s="52" t="s">
        <v>1388</v>
      </c>
      <c r="E52" s="56" t="s">
        <v>1849</v>
      </c>
      <c r="F52" s="64" t="s">
        <v>1640</v>
      </c>
      <c r="G52" s="64" t="s">
        <v>1850</v>
      </c>
      <c r="H52" s="64" t="s">
        <v>1852</v>
      </c>
      <c r="I52" s="64" t="s">
        <v>1854</v>
      </c>
      <c r="J52" s="45" t="s">
        <v>1855</v>
      </c>
      <c r="K52" s="38" t="s">
        <v>91</v>
      </c>
      <c r="L52" s="38" t="s">
        <v>127</v>
      </c>
      <c r="M52" s="38" t="s">
        <v>127</v>
      </c>
      <c r="N52" s="64"/>
      <c r="O52" s="64" t="s">
        <v>93</v>
      </c>
      <c r="P52" s="28"/>
      <c r="Q52" s="28"/>
      <c r="R52" s="28"/>
      <c r="S52" s="28"/>
      <c r="T52" s="28"/>
      <c r="U52" s="28"/>
      <c r="V52" s="28"/>
      <c r="W52" s="28"/>
      <c r="X52" s="28"/>
      <c r="Y52" s="28"/>
      <c r="Z52" s="28"/>
    </row>
    <row r="53">
      <c r="A53" s="38" t="s">
        <v>1860</v>
      </c>
      <c r="B53" s="38" t="s">
        <v>48</v>
      </c>
      <c r="C53" s="64" t="s">
        <v>1861</v>
      </c>
      <c r="D53" s="52" t="s">
        <v>1388</v>
      </c>
      <c r="E53" s="64" t="s">
        <v>1849</v>
      </c>
      <c r="F53" s="64" t="s">
        <v>1863</v>
      </c>
      <c r="G53" s="64" t="s">
        <v>300</v>
      </c>
      <c r="H53" s="64" t="s">
        <v>97</v>
      </c>
      <c r="I53" s="64" t="s">
        <v>1865</v>
      </c>
      <c r="J53" s="45" t="s">
        <v>1867</v>
      </c>
      <c r="K53" s="38" t="s">
        <v>91</v>
      </c>
      <c r="L53" s="38" t="s">
        <v>127</v>
      </c>
      <c r="M53" s="38" t="s">
        <v>127</v>
      </c>
      <c r="N53" s="64"/>
      <c r="O53" s="64" t="s">
        <v>1650</v>
      </c>
      <c r="P53" s="28"/>
      <c r="Q53" s="28"/>
      <c r="R53" s="28"/>
      <c r="S53" s="28"/>
      <c r="T53" s="28"/>
      <c r="U53" s="28"/>
      <c r="V53" s="28"/>
      <c r="W53" s="28"/>
      <c r="X53" s="28"/>
      <c r="Y53" s="28"/>
      <c r="Z53" s="28"/>
    </row>
    <row r="54">
      <c r="A54" s="38" t="s">
        <v>1871</v>
      </c>
      <c r="B54" s="38" t="s">
        <v>48</v>
      </c>
      <c r="C54" s="64" t="s">
        <v>1872</v>
      </c>
      <c r="D54" s="52" t="s">
        <v>1388</v>
      </c>
      <c r="E54" s="64" t="s">
        <v>1849</v>
      </c>
      <c r="F54" s="64" t="s">
        <v>1873</v>
      </c>
      <c r="G54" s="64" t="s">
        <v>300</v>
      </c>
      <c r="H54" s="64" t="s">
        <v>97</v>
      </c>
      <c r="I54" s="64" t="s">
        <v>1874</v>
      </c>
      <c r="J54" s="45" t="s">
        <v>1875</v>
      </c>
      <c r="K54" s="38" t="s">
        <v>91</v>
      </c>
      <c r="L54" s="38" t="s">
        <v>127</v>
      </c>
      <c r="M54" s="38" t="s">
        <v>127</v>
      </c>
      <c r="N54" s="64"/>
      <c r="O54" s="64" t="s">
        <v>1876</v>
      </c>
      <c r="P54" s="28"/>
      <c r="Q54" s="28"/>
      <c r="R54" s="28"/>
      <c r="S54" s="28"/>
      <c r="T54" s="28"/>
      <c r="U54" s="28"/>
      <c r="V54" s="28"/>
      <c r="W54" s="28"/>
      <c r="X54" s="28"/>
      <c r="Y54" s="28"/>
      <c r="Z54" s="28"/>
    </row>
    <row r="55">
      <c r="A55" s="38" t="s">
        <v>1877</v>
      </c>
      <c r="B55" s="38" t="s">
        <v>48</v>
      </c>
      <c r="C55" s="64" t="s">
        <v>1878</v>
      </c>
      <c r="D55" s="52" t="s">
        <v>1388</v>
      </c>
      <c r="E55" s="64" t="s">
        <v>1849</v>
      </c>
      <c r="F55" s="45" t="s">
        <v>1879</v>
      </c>
      <c r="G55" s="64" t="s">
        <v>300</v>
      </c>
      <c r="H55" s="64" t="s">
        <v>97</v>
      </c>
      <c r="I55" s="64" t="s">
        <v>1880</v>
      </c>
      <c r="J55" s="45" t="s">
        <v>1881</v>
      </c>
      <c r="K55" s="38" t="s">
        <v>91</v>
      </c>
      <c r="L55" s="38" t="s">
        <v>127</v>
      </c>
      <c r="M55" s="38" t="s">
        <v>127</v>
      </c>
      <c r="N55" s="64"/>
      <c r="O55" s="64" t="s">
        <v>1882</v>
      </c>
      <c r="P55" s="28"/>
      <c r="Q55" s="28"/>
      <c r="R55" s="28"/>
      <c r="S55" s="28"/>
      <c r="T55" s="28"/>
      <c r="U55" s="28"/>
      <c r="V55" s="28"/>
      <c r="W55" s="28"/>
      <c r="X55" s="28"/>
      <c r="Y55" s="28"/>
      <c r="Z55" s="28"/>
    </row>
    <row r="56">
      <c r="A56" s="38" t="s">
        <v>1883</v>
      </c>
      <c r="B56" s="38" t="s">
        <v>48</v>
      </c>
      <c r="C56" s="64" t="s">
        <v>1884</v>
      </c>
      <c r="D56" s="52" t="s">
        <v>1388</v>
      </c>
      <c r="E56" s="64" t="s">
        <v>1849</v>
      </c>
      <c r="F56" s="64" t="s">
        <v>1653</v>
      </c>
      <c r="G56" s="64" t="s">
        <v>300</v>
      </c>
      <c r="H56" s="64" t="s">
        <v>97</v>
      </c>
      <c r="I56" s="64" t="s">
        <v>1885</v>
      </c>
      <c r="J56" s="45" t="s">
        <v>144</v>
      </c>
      <c r="K56" s="38" t="s">
        <v>91</v>
      </c>
      <c r="L56" s="38" t="s">
        <v>127</v>
      </c>
      <c r="M56" s="38" t="s">
        <v>127</v>
      </c>
      <c r="N56" s="64"/>
      <c r="O56" s="64" t="s">
        <v>1886</v>
      </c>
      <c r="P56" s="28"/>
      <c r="Q56" s="28"/>
      <c r="R56" s="28"/>
      <c r="S56" s="28"/>
      <c r="T56" s="28"/>
      <c r="U56" s="28"/>
      <c r="V56" s="28"/>
      <c r="W56" s="28"/>
      <c r="X56" s="28"/>
      <c r="Y56" s="28"/>
      <c r="Z56" s="28"/>
    </row>
    <row r="57">
      <c r="A57" s="38" t="s">
        <v>1887</v>
      </c>
      <c r="B57" s="38" t="s">
        <v>48</v>
      </c>
      <c r="C57" s="64" t="s">
        <v>1888</v>
      </c>
      <c r="D57" s="52" t="s">
        <v>1388</v>
      </c>
      <c r="E57" s="64" t="s">
        <v>1849</v>
      </c>
      <c r="F57" s="64" t="s">
        <v>1889</v>
      </c>
      <c r="G57" s="64" t="s">
        <v>300</v>
      </c>
      <c r="H57" s="64" t="s">
        <v>97</v>
      </c>
      <c r="I57" s="64" t="s">
        <v>1890</v>
      </c>
      <c r="J57" s="45" t="s">
        <v>144</v>
      </c>
      <c r="K57" s="38" t="s">
        <v>91</v>
      </c>
      <c r="L57" s="38" t="s">
        <v>127</v>
      </c>
      <c r="M57" s="38" t="s">
        <v>127</v>
      </c>
      <c r="N57" s="64"/>
      <c r="O57" s="64" t="s">
        <v>1891</v>
      </c>
      <c r="P57" s="28"/>
      <c r="Q57" s="28"/>
      <c r="R57" s="28"/>
      <c r="S57" s="28"/>
      <c r="T57" s="28"/>
      <c r="U57" s="28"/>
      <c r="V57" s="28"/>
      <c r="W57" s="28"/>
      <c r="X57" s="28"/>
      <c r="Y57" s="28"/>
      <c r="Z57" s="28"/>
    </row>
    <row r="58">
      <c r="A58" s="38" t="s">
        <v>1892</v>
      </c>
      <c r="B58" s="38" t="s">
        <v>48</v>
      </c>
      <c r="C58" s="64" t="s">
        <v>1893</v>
      </c>
      <c r="D58" s="52" t="s">
        <v>1388</v>
      </c>
      <c r="E58" s="64" t="s">
        <v>1849</v>
      </c>
      <c r="F58" s="64" t="s">
        <v>1653</v>
      </c>
      <c r="G58" s="64" t="s">
        <v>203</v>
      </c>
      <c r="H58" s="64" t="s">
        <v>97</v>
      </c>
      <c r="I58" s="64" t="s">
        <v>556</v>
      </c>
      <c r="J58" s="45" t="s">
        <v>144</v>
      </c>
      <c r="K58" s="38" t="s">
        <v>91</v>
      </c>
      <c r="L58" s="38" t="s">
        <v>127</v>
      </c>
      <c r="M58" s="38" t="s">
        <v>127</v>
      </c>
      <c r="N58" s="64"/>
      <c r="O58" s="64" t="s">
        <v>206</v>
      </c>
      <c r="P58" s="28"/>
      <c r="Q58" s="28"/>
      <c r="R58" s="28"/>
      <c r="S58" s="28"/>
      <c r="T58" s="28"/>
      <c r="U58" s="28"/>
      <c r="V58" s="28"/>
      <c r="W58" s="28"/>
      <c r="X58" s="28"/>
      <c r="Y58" s="28"/>
      <c r="Z58" s="28"/>
    </row>
    <row r="59">
      <c r="A59" s="38" t="s">
        <v>1894</v>
      </c>
      <c r="B59" s="38" t="s">
        <v>48</v>
      </c>
      <c r="C59" s="64" t="s">
        <v>1895</v>
      </c>
      <c r="D59" s="52" t="s">
        <v>1388</v>
      </c>
      <c r="E59" s="64" t="s">
        <v>1849</v>
      </c>
      <c r="F59" s="64" t="s">
        <v>1653</v>
      </c>
      <c r="G59" s="64" t="s">
        <v>242</v>
      </c>
      <c r="H59" s="64" t="s">
        <v>97</v>
      </c>
      <c r="I59" s="64" t="s">
        <v>556</v>
      </c>
      <c r="J59" s="45" t="s">
        <v>144</v>
      </c>
      <c r="K59" s="38" t="s">
        <v>91</v>
      </c>
      <c r="L59" s="38" t="s">
        <v>127</v>
      </c>
      <c r="M59" s="38" t="s">
        <v>127</v>
      </c>
      <c r="N59" s="64"/>
      <c r="O59" s="64" t="s">
        <v>1572</v>
      </c>
      <c r="P59" s="28"/>
      <c r="Q59" s="28"/>
      <c r="R59" s="28"/>
      <c r="S59" s="28"/>
      <c r="T59" s="28"/>
      <c r="U59" s="28"/>
      <c r="V59" s="28"/>
      <c r="W59" s="28"/>
      <c r="X59" s="28"/>
      <c r="Y59" s="28"/>
      <c r="Z59" s="28"/>
    </row>
    <row r="60">
      <c r="A60" s="38" t="s">
        <v>1896</v>
      </c>
      <c r="B60" s="38" t="s">
        <v>48</v>
      </c>
      <c r="C60" s="64" t="s">
        <v>1897</v>
      </c>
      <c r="D60" s="52" t="s">
        <v>1388</v>
      </c>
      <c r="E60" s="64" t="s">
        <v>1849</v>
      </c>
      <c r="F60" s="64" t="s">
        <v>1653</v>
      </c>
      <c r="G60" s="64" t="s">
        <v>503</v>
      </c>
      <c r="H60" s="64" t="s">
        <v>97</v>
      </c>
      <c r="I60" s="64" t="s">
        <v>562</v>
      </c>
      <c r="J60" s="64"/>
      <c r="K60" s="38" t="s">
        <v>172</v>
      </c>
      <c r="L60" s="38" t="s">
        <v>127</v>
      </c>
      <c r="M60" s="38" t="s">
        <v>127</v>
      </c>
      <c r="N60" s="64"/>
      <c r="O60" s="64" t="s">
        <v>402</v>
      </c>
      <c r="P60" s="28"/>
      <c r="Q60" s="28"/>
      <c r="R60" s="28"/>
      <c r="S60" s="28"/>
      <c r="T60" s="28"/>
      <c r="U60" s="28"/>
      <c r="V60" s="28"/>
      <c r="W60" s="28"/>
      <c r="X60" s="28"/>
      <c r="Y60" s="28"/>
      <c r="Z60" s="28"/>
    </row>
    <row r="61">
      <c r="A61" s="38" t="s">
        <v>1899</v>
      </c>
      <c r="B61" s="38" t="s">
        <v>48</v>
      </c>
      <c r="C61" s="64" t="s">
        <v>1900</v>
      </c>
      <c r="D61" s="52" t="s">
        <v>1388</v>
      </c>
      <c r="E61" s="64" t="s">
        <v>1849</v>
      </c>
      <c r="F61" s="64" t="s">
        <v>1653</v>
      </c>
      <c r="G61" s="64" t="s">
        <v>300</v>
      </c>
      <c r="H61" s="64" t="s">
        <v>97</v>
      </c>
      <c r="I61" s="64" t="s">
        <v>578</v>
      </c>
      <c r="J61" s="45" t="s">
        <v>144</v>
      </c>
      <c r="K61" s="38" t="s">
        <v>91</v>
      </c>
      <c r="L61" s="38" t="s">
        <v>127</v>
      </c>
      <c r="M61" s="38" t="s">
        <v>127</v>
      </c>
      <c r="N61" s="64"/>
      <c r="O61" s="64" t="s">
        <v>387</v>
      </c>
      <c r="P61" s="28"/>
      <c r="Q61" s="28"/>
      <c r="R61" s="28"/>
      <c r="S61" s="28"/>
      <c r="T61" s="28"/>
      <c r="U61" s="28"/>
      <c r="V61" s="28"/>
      <c r="W61" s="28"/>
      <c r="X61" s="28"/>
      <c r="Y61" s="28"/>
      <c r="Z61" s="28"/>
    </row>
    <row r="62">
      <c r="A62" s="38" t="s">
        <v>1903</v>
      </c>
      <c r="B62" s="38" t="s">
        <v>48</v>
      </c>
      <c r="C62" s="64" t="s">
        <v>1904</v>
      </c>
      <c r="D62" s="52" t="s">
        <v>1388</v>
      </c>
      <c r="E62" s="64" t="s">
        <v>1849</v>
      </c>
      <c r="F62" s="64" t="s">
        <v>1592</v>
      </c>
      <c r="G62" s="64" t="s">
        <v>300</v>
      </c>
      <c r="H62" s="64" t="s">
        <v>97</v>
      </c>
      <c r="I62" s="64" t="s">
        <v>1726</v>
      </c>
      <c r="J62" s="45" t="s">
        <v>1909</v>
      </c>
      <c r="K62" s="38" t="s">
        <v>91</v>
      </c>
      <c r="L62" s="38" t="s">
        <v>127</v>
      </c>
      <c r="M62" s="38" t="s">
        <v>127</v>
      </c>
      <c r="N62" s="64"/>
      <c r="O62" s="64" t="s">
        <v>1596</v>
      </c>
      <c r="P62" s="28"/>
      <c r="Q62" s="28"/>
      <c r="R62" s="28"/>
      <c r="S62" s="28"/>
      <c r="T62" s="28"/>
      <c r="U62" s="28"/>
      <c r="V62" s="28"/>
      <c r="W62" s="28"/>
      <c r="X62" s="28"/>
      <c r="Y62" s="28"/>
      <c r="Z62" s="28"/>
    </row>
    <row r="63">
      <c r="A63" s="38" t="s">
        <v>1910</v>
      </c>
      <c r="B63" s="38" t="s">
        <v>48</v>
      </c>
      <c r="C63" s="64" t="s">
        <v>1744</v>
      </c>
      <c r="D63" s="52" t="s">
        <v>1388</v>
      </c>
      <c r="E63" s="64" t="s">
        <v>1849</v>
      </c>
      <c r="F63" s="64" t="s">
        <v>1745</v>
      </c>
      <c r="G63" s="64" t="s">
        <v>300</v>
      </c>
      <c r="H63" s="64" t="s">
        <v>97</v>
      </c>
      <c r="I63" s="64" t="s">
        <v>1746</v>
      </c>
      <c r="J63" s="45" t="s">
        <v>144</v>
      </c>
      <c r="K63" s="38" t="s">
        <v>91</v>
      </c>
      <c r="L63" s="38" t="s">
        <v>127</v>
      </c>
      <c r="M63" s="38" t="s">
        <v>127</v>
      </c>
      <c r="N63" s="64"/>
      <c r="O63" s="64" t="s">
        <v>1748</v>
      </c>
      <c r="P63" s="28"/>
      <c r="Q63" s="28"/>
      <c r="R63" s="28"/>
      <c r="S63" s="28"/>
      <c r="T63" s="28"/>
      <c r="U63" s="28"/>
      <c r="V63" s="28"/>
      <c r="W63" s="28"/>
      <c r="X63" s="28"/>
      <c r="Y63" s="28"/>
      <c r="Z63" s="28"/>
    </row>
    <row r="64">
      <c r="A64" s="38" t="s">
        <v>1912</v>
      </c>
      <c r="B64" s="38" t="s">
        <v>48</v>
      </c>
      <c r="C64" s="64" t="s">
        <v>1913</v>
      </c>
      <c r="D64" s="52" t="s">
        <v>1388</v>
      </c>
      <c r="E64" s="64" t="s">
        <v>1849</v>
      </c>
      <c r="F64" s="64" t="s">
        <v>1915</v>
      </c>
      <c r="G64" s="64" t="s">
        <v>300</v>
      </c>
      <c r="H64" s="64" t="s">
        <v>97</v>
      </c>
      <c r="I64" s="64" t="s">
        <v>1746</v>
      </c>
      <c r="J64" s="45" t="s">
        <v>144</v>
      </c>
      <c r="K64" s="38" t="s">
        <v>91</v>
      </c>
      <c r="L64" s="38" t="s">
        <v>127</v>
      </c>
      <c r="M64" s="38" t="s">
        <v>127</v>
      </c>
      <c r="N64" s="64"/>
      <c r="O64" s="64" t="s">
        <v>1924</v>
      </c>
      <c r="P64" s="28"/>
      <c r="Q64" s="28"/>
      <c r="R64" s="28"/>
      <c r="S64" s="28"/>
      <c r="T64" s="28"/>
      <c r="U64" s="28"/>
      <c r="V64" s="28"/>
      <c r="W64" s="28"/>
      <c r="X64" s="28"/>
      <c r="Y64" s="28"/>
      <c r="Z64" s="28"/>
    </row>
    <row r="65">
      <c r="A65" s="38" t="s">
        <v>1926</v>
      </c>
      <c r="B65" s="38" t="s">
        <v>48</v>
      </c>
      <c r="C65" s="64" t="s">
        <v>1932</v>
      </c>
      <c r="D65" s="52" t="s">
        <v>1388</v>
      </c>
      <c r="E65" s="64" t="s">
        <v>1849</v>
      </c>
      <c r="F65" s="64" t="s">
        <v>1934</v>
      </c>
      <c r="G65" s="64" t="s">
        <v>300</v>
      </c>
      <c r="H65" s="64" t="s">
        <v>97</v>
      </c>
      <c r="I65" s="64" t="s">
        <v>1746</v>
      </c>
      <c r="J65" s="45" t="s">
        <v>144</v>
      </c>
      <c r="K65" s="38" t="s">
        <v>91</v>
      </c>
      <c r="L65" s="38" t="s">
        <v>127</v>
      </c>
      <c r="M65" s="38" t="s">
        <v>127</v>
      </c>
      <c r="N65" s="64"/>
      <c r="O65" s="64" t="s">
        <v>1790</v>
      </c>
      <c r="P65" s="28"/>
      <c r="Q65" s="28"/>
      <c r="R65" s="28"/>
      <c r="S65" s="28"/>
      <c r="T65" s="28"/>
      <c r="U65" s="28"/>
      <c r="V65" s="28"/>
      <c r="W65" s="28"/>
      <c r="X65" s="28"/>
      <c r="Y65" s="28"/>
      <c r="Z65" s="28"/>
    </row>
    <row r="66">
      <c r="A66" s="38" t="s">
        <v>1941</v>
      </c>
      <c r="B66" s="38" t="s">
        <v>48</v>
      </c>
      <c r="C66" s="64" t="s">
        <v>1942</v>
      </c>
      <c r="D66" s="52" t="s">
        <v>1388</v>
      </c>
      <c r="E66" s="64" t="s">
        <v>1849</v>
      </c>
      <c r="F66" s="64" t="s">
        <v>1943</v>
      </c>
      <c r="G66" s="64" t="s">
        <v>300</v>
      </c>
      <c r="H66" s="64" t="s">
        <v>97</v>
      </c>
      <c r="I66" s="64" t="s">
        <v>1746</v>
      </c>
      <c r="J66" s="45" t="s">
        <v>144</v>
      </c>
      <c r="K66" s="38" t="s">
        <v>91</v>
      </c>
      <c r="L66" s="38" t="s">
        <v>127</v>
      </c>
      <c r="M66" s="38" t="s">
        <v>127</v>
      </c>
      <c r="N66" s="64"/>
      <c r="O66" s="64" t="s">
        <v>1790</v>
      </c>
      <c r="P66" s="28"/>
      <c r="Q66" s="28"/>
      <c r="R66" s="28"/>
      <c r="S66" s="28"/>
      <c r="T66" s="28"/>
      <c r="U66" s="28"/>
      <c r="V66" s="28"/>
      <c r="W66" s="28"/>
      <c r="X66" s="28"/>
      <c r="Y66" s="28"/>
      <c r="Z66" s="28"/>
    </row>
    <row r="67">
      <c r="A67" s="38" t="s">
        <v>1950</v>
      </c>
      <c r="B67" s="38" t="s">
        <v>48</v>
      </c>
      <c r="C67" s="64" t="s">
        <v>1951</v>
      </c>
      <c r="D67" s="52" t="s">
        <v>1388</v>
      </c>
      <c r="E67" s="64" t="s">
        <v>1849</v>
      </c>
      <c r="F67" s="64" t="s">
        <v>1952</v>
      </c>
      <c r="G67" s="64" t="s">
        <v>300</v>
      </c>
      <c r="H67" s="64" t="s">
        <v>97</v>
      </c>
      <c r="I67" s="64" t="s">
        <v>1746</v>
      </c>
      <c r="J67" s="45" t="s">
        <v>144</v>
      </c>
      <c r="K67" s="38" t="s">
        <v>91</v>
      </c>
      <c r="L67" s="38" t="s">
        <v>127</v>
      </c>
      <c r="M67" s="38" t="s">
        <v>127</v>
      </c>
      <c r="N67" s="64"/>
      <c r="O67" s="64" t="s">
        <v>1953</v>
      </c>
      <c r="P67" s="28"/>
      <c r="Q67" s="28"/>
      <c r="R67" s="28"/>
      <c r="S67" s="28"/>
      <c r="T67" s="28"/>
      <c r="U67" s="28"/>
      <c r="V67" s="28"/>
      <c r="W67" s="28"/>
      <c r="X67" s="28"/>
      <c r="Y67" s="28"/>
      <c r="Z67" s="28"/>
    </row>
    <row r="68">
      <c r="A68" s="38" t="s">
        <v>1955</v>
      </c>
      <c r="B68" s="38" t="s">
        <v>48</v>
      </c>
      <c r="C68" s="64" t="s">
        <v>1957</v>
      </c>
      <c r="D68" s="52" t="s">
        <v>1388</v>
      </c>
      <c r="E68" s="64" t="s">
        <v>1849</v>
      </c>
      <c r="F68" s="64" t="s">
        <v>1960</v>
      </c>
      <c r="G68" s="64" t="s">
        <v>300</v>
      </c>
      <c r="H68" s="64" t="s">
        <v>97</v>
      </c>
      <c r="I68" s="64" t="s">
        <v>1746</v>
      </c>
      <c r="J68" s="45" t="s">
        <v>144</v>
      </c>
      <c r="K68" s="38" t="s">
        <v>91</v>
      </c>
      <c r="L68" s="38" t="s">
        <v>127</v>
      </c>
      <c r="M68" s="38" t="s">
        <v>127</v>
      </c>
      <c r="N68" s="64"/>
      <c r="O68" s="64" t="s">
        <v>1953</v>
      </c>
      <c r="P68" s="28"/>
      <c r="Q68" s="28"/>
      <c r="R68" s="28"/>
      <c r="S68" s="28"/>
      <c r="T68" s="28"/>
      <c r="U68" s="28"/>
      <c r="V68" s="28"/>
      <c r="W68" s="28"/>
      <c r="X68" s="28"/>
      <c r="Y68" s="28"/>
      <c r="Z68" s="28"/>
    </row>
    <row r="69">
      <c r="A69" s="38" t="s">
        <v>1966</v>
      </c>
      <c r="B69" s="38" t="s">
        <v>48</v>
      </c>
      <c r="C69" s="64" t="s">
        <v>1967</v>
      </c>
      <c r="D69" s="52" t="s">
        <v>1388</v>
      </c>
      <c r="E69" s="64" t="s">
        <v>1849</v>
      </c>
      <c r="F69" s="64" t="s">
        <v>1968</v>
      </c>
      <c r="G69" s="64" t="s">
        <v>300</v>
      </c>
      <c r="H69" s="64" t="s">
        <v>97</v>
      </c>
      <c r="I69" s="64" t="s">
        <v>1746</v>
      </c>
      <c r="J69" s="45" t="s">
        <v>1970</v>
      </c>
      <c r="K69" s="38" t="s">
        <v>802</v>
      </c>
      <c r="L69" s="38" t="s">
        <v>127</v>
      </c>
      <c r="M69" s="38" t="s">
        <v>127</v>
      </c>
      <c r="N69" s="64"/>
      <c r="O69" s="64" t="s">
        <v>1619</v>
      </c>
      <c r="P69" s="28"/>
      <c r="Q69" s="28"/>
      <c r="R69" s="28"/>
      <c r="S69" s="28"/>
      <c r="T69" s="28"/>
      <c r="U69" s="28"/>
      <c r="V69" s="28"/>
      <c r="W69" s="28"/>
      <c r="X69" s="28"/>
      <c r="Y69" s="28"/>
      <c r="Z69" s="28"/>
    </row>
    <row r="70">
      <c r="A70" s="38" t="s">
        <v>1975</v>
      </c>
      <c r="B70" s="38" t="s">
        <v>48</v>
      </c>
      <c r="C70" s="64" t="s">
        <v>1804</v>
      </c>
      <c r="D70" s="52" t="s">
        <v>1388</v>
      </c>
      <c r="E70" s="64" t="s">
        <v>1849</v>
      </c>
      <c r="F70" s="64" t="s">
        <v>1805</v>
      </c>
      <c r="G70" s="64" t="s">
        <v>300</v>
      </c>
      <c r="H70" s="64" t="s">
        <v>97</v>
      </c>
      <c r="I70" s="64" t="s">
        <v>1980</v>
      </c>
      <c r="J70" s="45" t="s">
        <v>1981</v>
      </c>
      <c r="K70" s="38" t="s">
        <v>91</v>
      </c>
      <c r="L70" s="38" t="s">
        <v>127</v>
      </c>
      <c r="M70" s="38" t="s">
        <v>127</v>
      </c>
      <c r="N70" s="64"/>
      <c r="O70" s="64" t="s">
        <v>1809</v>
      </c>
      <c r="P70" s="28"/>
      <c r="Q70" s="28"/>
      <c r="R70" s="28"/>
      <c r="S70" s="28"/>
      <c r="T70" s="28"/>
      <c r="U70" s="28"/>
      <c r="V70" s="28"/>
      <c r="W70" s="28"/>
      <c r="X70" s="28"/>
      <c r="Y70" s="28"/>
      <c r="Z70" s="28"/>
    </row>
    <row r="71">
      <c r="A71" s="38" t="s">
        <v>1982</v>
      </c>
      <c r="B71" s="38" t="s">
        <v>48</v>
      </c>
      <c r="C71" s="64" t="s">
        <v>506</v>
      </c>
      <c r="D71" s="52" t="s">
        <v>1388</v>
      </c>
      <c r="E71" s="64" t="s">
        <v>1849</v>
      </c>
      <c r="F71" s="64" t="s">
        <v>1653</v>
      </c>
      <c r="G71" s="64" t="s">
        <v>300</v>
      </c>
      <c r="H71" s="64" t="s">
        <v>97</v>
      </c>
      <c r="I71" s="64" t="s">
        <v>1814</v>
      </c>
      <c r="J71" s="45" t="s">
        <v>144</v>
      </c>
      <c r="K71" s="38" t="s">
        <v>91</v>
      </c>
      <c r="L71" s="38" t="s">
        <v>127</v>
      </c>
      <c r="M71" s="38" t="s">
        <v>127</v>
      </c>
      <c r="N71" s="64"/>
      <c r="O71" s="64" t="s">
        <v>1816</v>
      </c>
      <c r="P71" s="28"/>
      <c r="Q71" s="28"/>
      <c r="R71" s="28"/>
      <c r="S71" s="28"/>
      <c r="T71" s="28"/>
      <c r="U71" s="28"/>
      <c r="V71" s="28"/>
      <c r="W71" s="28"/>
      <c r="X71" s="28"/>
      <c r="Y71" s="28"/>
      <c r="Z71" s="28"/>
    </row>
    <row r="72">
      <c r="A72" s="38" t="s">
        <v>1985</v>
      </c>
      <c r="B72" s="38" t="s">
        <v>48</v>
      </c>
      <c r="C72" s="64" t="s">
        <v>1986</v>
      </c>
      <c r="D72" s="52" t="s">
        <v>1388</v>
      </c>
      <c r="E72" s="64" t="s">
        <v>1849</v>
      </c>
      <c r="F72" s="64" t="s">
        <v>1993</v>
      </c>
      <c r="G72" s="64" t="s">
        <v>300</v>
      </c>
      <c r="H72" s="64" t="s">
        <v>1822</v>
      </c>
      <c r="I72" s="64" t="s">
        <v>1994</v>
      </c>
      <c r="J72" s="45" t="s">
        <v>144</v>
      </c>
      <c r="K72" s="38" t="s">
        <v>91</v>
      </c>
      <c r="L72" s="38" t="s">
        <v>127</v>
      </c>
      <c r="M72" s="38" t="s">
        <v>127</v>
      </c>
      <c r="N72" s="64"/>
      <c r="O72" s="64" t="s">
        <v>1826</v>
      </c>
      <c r="P72" s="28"/>
      <c r="Q72" s="28"/>
      <c r="R72" s="28"/>
      <c r="S72" s="28"/>
      <c r="T72" s="28"/>
      <c r="U72" s="28"/>
      <c r="V72" s="28"/>
      <c r="W72" s="28"/>
      <c r="X72" s="28"/>
      <c r="Y72" s="28"/>
      <c r="Z72" s="28"/>
    </row>
    <row r="73">
      <c r="A73" s="38" t="s">
        <v>2000</v>
      </c>
      <c r="B73" s="38" t="s">
        <v>48</v>
      </c>
      <c r="C73" s="64" t="s">
        <v>1628</v>
      </c>
      <c r="D73" s="52" t="s">
        <v>1388</v>
      </c>
      <c r="E73" s="64" t="s">
        <v>1849</v>
      </c>
      <c r="F73" s="64" t="s">
        <v>1653</v>
      </c>
      <c r="G73" s="64" t="s">
        <v>300</v>
      </c>
      <c r="H73" s="64" t="s">
        <v>97</v>
      </c>
      <c r="I73" s="64" t="s">
        <v>568</v>
      </c>
      <c r="J73" s="45" t="s">
        <v>144</v>
      </c>
      <c r="K73" s="38" t="s">
        <v>91</v>
      </c>
      <c r="L73" s="38" t="s">
        <v>127</v>
      </c>
      <c r="M73" s="38" t="s">
        <v>127</v>
      </c>
      <c r="N73" s="64"/>
      <c r="O73" s="64" t="s">
        <v>278</v>
      </c>
      <c r="P73" s="28"/>
      <c r="Q73" s="28"/>
      <c r="R73" s="28"/>
      <c r="S73" s="28"/>
      <c r="T73" s="28"/>
      <c r="U73" s="28"/>
      <c r="V73" s="28"/>
      <c r="W73" s="28"/>
      <c r="X73" s="28"/>
      <c r="Y73" s="28"/>
      <c r="Z73" s="28"/>
    </row>
    <row r="74" ht="36.0" customHeight="1">
      <c r="A74" s="49" t="s">
        <v>2007</v>
      </c>
      <c r="B74" s="23"/>
      <c r="C74" s="23"/>
      <c r="D74" s="23"/>
      <c r="E74" s="23"/>
      <c r="F74" s="23"/>
      <c r="G74" s="23"/>
      <c r="H74" s="23"/>
      <c r="I74" s="23"/>
      <c r="J74" s="23"/>
      <c r="K74" s="23"/>
      <c r="L74" s="23"/>
      <c r="M74" s="23"/>
      <c r="N74" s="23"/>
      <c r="O74" s="23"/>
      <c r="P74" s="23"/>
      <c r="Q74" s="23"/>
      <c r="R74" s="23"/>
      <c r="S74" s="23"/>
      <c r="T74" s="23"/>
      <c r="U74" s="23"/>
      <c r="V74" s="23"/>
      <c r="W74" s="23"/>
      <c r="X74" s="23"/>
      <c r="Y74" s="23"/>
      <c r="Z74" s="24"/>
    </row>
    <row r="75">
      <c r="A75" s="38" t="s">
        <v>2014</v>
      </c>
      <c r="B75" s="38" t="s">
        <v>48</v>
      </c>
      <c r="C75" s="64" t="s">
        <v>2017</v>
      </c>
      <c r="D75" s="38" t="s">
        <v>84</v>
      </c>
      <c r="E75" s="64" t="s">
        <v>2019</v>
      </c>
      <c r="F75" s="45" t="s">
        <v>2020</v>
      </c>
      <c r="G75" s="64" t="s">
        <v>300</v>
      </c>
      <c r="H75" s="64" t="s">
        <v>97</v>
      </c>
      <c r="I75" s="45" t="s">
        <v>2021</v>
      </c>
      <c r="J75" s="45" t="s">
        <v>2022</v>
      </c>
      <c r="K75" s="38" t="s">
        <v>91</v>
      </c>
      <c r="L75" s="38" t="s">
        <v>127</v>
      </c>
      <c r="M75" s="38" t="s">
        <v>127</v>
      </c>
      <c r="N75" s="64"/>
      <c r="O75" s="67" t="s">
        <v>93</v>
      </c>
      <c r="P75" s="28"/>
      <c r="Q75" s="28"/>
      <c r="R75" s="28"/>
      <c r="S75" s="28"/>
      <c r="T75" s="28"/>
      <c r="U75" s="28"/>
      <c r="V75" s="28"/>
      <c r="W75" s="28"/>
      <c r="X75" s="28"/>
      <c r="Y75" s="28"/>
      <c r="Z75" s="28"/>
    </row>
    <row r="76">
      <c r="A76" s="38" t="s">
        <v>2030</v>
      </c>
      <c r="B76" s="38" t="s">
        <v>48</v>
      </c>
      <c r="C76" s="64" t="s">
        <v>2032</v>
      </c>
      <c r="D76" s="38" t="s">
        <v>84</v>
      </c>
      <c r="E76" s="64" t="s">
        <v>2034</v>
      </c>
      <c r="F76" s="64" t="s">
        <v>2036</v>
      </c>
      <c r="G76" s="64" t="s">
        <v>300</v>
      </c>
      <c r="H76" s="64" t="s">
        <v>97</v>
      </c>
      <c r="I76" s="64" t="s">
        <v>2038</v>
      </c>
      <c r="J76" s="45" t="s">
        <v>2039</v>
      </c>
      <c r="K76" s="38" t="s">
        <v>91</v>
      </c>
      <c r="L76" s="38" t="s">
        <v>127</v>
      </c>
      <c r="M76" s="38" t="s">
        <v>127</v>
      </c>
      <c r="N76" s="64"/>
      <c r="O76" s="64" t="s">
        <v>93</v>
      </c>
      <c r="P76" s="28"/>
      <c r="Q76" s="28"/>
      <c r="R76" s="28"/>
      <c r="S76" s="28"/>
      <c r="T76" s="28"/>
      <c r="U76" s="28"/>
      <c r="V76" s="28"/>
      <c r="W76" s="28"/>
      <c r="X76" s="28"/>
      <c r="Y76" s="28"/>
      <c r="Z76" s="28"/>
    </row>
    <row r="77">
      <c r="A77" s="38" t="s">
        <v>2044</v>
      </c>
      <c r="B77" s="38" t="s">
        <v>48</v>
      </c>
      <c r="C77" s="64" t="s">
        <v>506</v>
      </c>
      <c r="D77" s="38" t="s">
        <v>84</v>
      </c>
      <c r="E77" s="45" t="s">
        <v>2045</v>
      </c>
      <c r="F77" s="45" t="s">
        <v>2046</v>
      </c>
      <c r="G77" s="64" t="s">
        <v>300</v>
      </c>
      <c r="H77" s="64" t="s">
        <v>97</v>
      </c>
      <c r="I77" s="64" t="s">
        <v>2047</v>
      </c>
      <c r="J77" s="45" t="s">
        <v>2048</v>
      </c>
      <c r="K77" s="38" t="s">
        <v>91</v>
      </c>
      <c r="L77" s="38" t="s">
        <v>127</v>
      </c>
      <c r="M77" s="38" t="s">
        <v>127</v>
      </c>
      <c r="N77" s="64"/>
      <c r="O77" s="64" t="s">
        <v>100</v>
      </c>
      <c r="P77" s="28"/>
      <c r="Q77" s="28"/>
      <c r="R77" s="28"/>
      <c r="S77" s="28"/>
      <c r="T77" s="28"/>
      <c r="U77" s="28"/>
      <c r="V77" s="28"/>
      <c r="W77" s="28"/>
      <c r="X77" s="28"/>
      <c r="Y77" s="28"/>
      <c r="Z77" s="28"/>
    </row>
    <row r="78">
      <c r="A78" s="38" t="s">
        <v>2053</v>
      </c>
      <c r="B78" s="38" t="s">
        <v>48</v>
      </c>
      <c r="C78" s="64" t="s">
        <v>2055</v>
      </c>
      <c r="D78" s="38" t="s">
        <v>84</v>
      </c>
      <c r="E78" s="64" t="s">
        <v>2057</v>
      </c>
      <c r="F78" s="64" t="s">
        <v>2058</v>
      </c>
      <c r="G78" s="64" t="s">
        <v>300</v>
      </c>
      <c r="H78" s="64" t="s">
        <v>97</v>
      </c>
      <c r="I78" s="45" t="s">
        <v>2059</v>
      </c>
      <c r="J78" s="45" t="s">
        <v>144</v>
      </c>
      <c r="K78" s="38" t="s">
        <v>91</v>
      </c>
      <c r="L78" s="38" t="s">
        <v>127</v>
      </c>
      <c r="M78" s="38" t="s">
        <v>127</v>
      </c>
      <c r="N78" s="64"/>
      <c r="O78" s="64" t="s">
        <v>856</v>
      </c>
      <c r="P78" s="28"/>
      <c r="Q78" s="28"/>
      <c r="R78" s="28"/>
      <c r="S78" s="28"/>
      <c r="T78" s="28"/>
      <c r="U78" s="28"/>
      <c r="V78" s="28"/>
      <c r="W78" s="28"/>
      <c r="X78" s="28"/>
      <c r="Y78" s="28"/>
      <c r="Z78" s="28"/>
    </row>
    <row r="79">
      <c r="A79" s="38" t="s">
        <v>2061</v>
      </c>
      <c r="B79" s="38" t="s">
        <v>48</v>
      </c>
      <c r="C79" s="64" t="s">
        <v>2062</v>
      </c>
      <c r="D79" s="38" t="s">
        <v>84</v>
      </c>
      <c r="E79" s="64" t="s">
        <v>2064</v>
      </c>
      <c r="F79" s="64" t="s">
        <v>2065</v>
      </c>
      <c r="G79" s="64" t="s">
        <v>300</v>
      </c>
      <c r="H79" s="64" t="s">
        <v>97</v>
      </c>
      <c r="I79" s="45" t="s">
        <v>2068</v>
      </c>
      <c r="J79" s="45" t="s">
        <v>144</v>
      </c>
      <c r="K79" s="38" t="s">
        <v>91</v>
      </c>
      <c r="L79" s="38" t="s">
        <v>127</v>
      </c>
      <c r="M79" s="38" t="s">
        <v>127</v>
      </c>
      <c r="N79" s="64"/>
      <c r="O79" s="64" t="s">
        <v>856</v>
      </c>
      <c r="P79" s="28"/>
      <c r="Q79" s="28"/>
      <c r="R79" s="28"/>
      <c r="S79" s="28"/>
      <c r="T79" s="28"/>
      <c r="U79" s="28"/>
      <c r="V79" s="28"/>
      <c r="W79" s="28"/>
      <c r="X79" s="28"/>
      <c r="Y79" s="28"/>
      <c r="Z79" s="28"/>
    </row>
    <row r="80">
      <c r="A80" s="38" t="s">
        <v>2072</v>
      </c>
      <c r="B80" s="38" t="s">
        <v>48</v>
      </c>
      <c r="C80" s="64" t="s">
        <v>2073</v>
      </c>
      <c r="D80" s="38" t="s">
        <v>84</v>
      </c>
      <c r="E80" s="64" t="s">
        <v>2074</v>
      </c>
      <c r="F80" s="64" t="s">
        <v>2075</v>
      </c>
      <c r="G80" s="64" t="s">
        <v>300</v>
      </c>
      <c r="H80" s="64" t="s">
        <v>97</v>
      </c>
      <c r="I80" s="64" t="s">
        <v>2077</v>
      </c>
      <c r="J80" s="45" t="s">
        <v>144</v>
      </c>
      <c r="K80" s="38" t="s">
        <v>91</v>
      </c>
      <c r="L80" s="38" t="s">
        <v>127</v>
      </c>
      <c r="M80" s="38" t="s">
        <v>127</v>
      </c>
      <c r="N80" s="64"/>
      <c r="O80" s="64" t="s">
        <v>636</v>
      </c>
      <c r="P80" s="28"/>
      <c r="Q80" s="28"/>
      <c r="R80" s="28"/>
      <c r="S80" s="28"/>
      <c r="T80" s="28"/>
      <c r="U80" s="28"/>
      <c r="V80" s="28"/>
      <c r="W80" s="28"/>
      <c r="X80" s="28"/>
      <c r="Y80" s="28"/>
      <c r="Z80" s="28"/>
    </row>
    <row r="81">
      <c r="A81" s="38" t="s">
        <v>2082</v>
      </c>
      <c r="B81" s="38" t="s">
        <v>48</v>
      </c>
      <c r="C81" s="64" t="s">
        <v>2083</v>
      </c>
      <c r="D81" s="38" t="s">
        <v>84</v>
      </c>
      <c r="E81" s="64" t="s">
        <v>2034</v>
      </c>
      <c r="F81" s="64" t="s">
        <v>2036</v>
      </c>
      <c r="G81" s="64" t="s">
        <v>203</v>
      </c>
      <c r="H81" s="64" t="s">
        <v>97</v>
      </c>
      <c r="I81" s="64" t="s">
        <v>556</v>
      </c>
      <c r="J81" s="45" t="s">
        <v>2085</v>
      </c>
      <c r="K81" s="38" t="s">
        <v>91</v>
      </c>
      <c r="L81" s="38" t="s">
        <v>127</v>
      </c>
      <c r="M81" s="38" t="s">
        <v>127</v>
      </c>
      <c r="N81" s="64"/>
      <c r="O81" s="64" t="s">
        <v>206</v>
      </c>
      <c r="P81" s="28"/>
      <c r="Q81" s="28"/>
      <c r="R81" s="28"/>
      <c r="S81" s="28"/>
      <c r="T81" s="28"/>
      <c r="U81" s="28"/>
      <c r="V81" s="28"/>
      <c r="W81" s="28"/>
      <c r="X81" s="28"/>
      <c r="Y81" s="28"/>
      <c r="Z81" s="28"/>
    </row>
    <row r="82">
      <c r="A82" s="38" t="s">
        <v>2089</v>
      </c>
      <c r="B82" s="38" t="s">
        <v>48</v>
      </c>
      <c r="C82" s="64" t="s">
        <v>2091</v>
      </c>
      <c r="D82" s="38" t="s">
        <v>84</v>
      </c>
      <c r="E82" s="64" t="s">
        <v>2034</v>
      </c>
      <c r="F82" s="64" t="s">
        <v>2036</v>
      </c>
      <c r="G82" s="64" t="s">
        <v>242</v>
      </c>
      <c r="H82" s="64" t="s">
        <v>97</v>
      </c>
      <c r="I82" s="64" t="s">
        <v>556</v>
      </c>
      <c r="J82" s="45" t="s">
        <v>144</v>
      </c>
      <c r="K82" s="38" t="s">
        <v>91</v>
      </c>
      <c r="L82" s="38" t="s">
        <v>127</v>
      </c>
      <c r="M82" s="38" t="s">
        <v>127</v>
      </c>
      <c r="N82" s="64"/>
      <c r="O82" s="64" t="s">
        <v>1572</v>
      </c>
      <c r="P82" s="28"/>
      <c r="Q82" s="28"/>
      <c r="R82" s="28"/>
      <c r="S82" s="28"/>
      <c r="T82" s="28"/>
      <c r="U82" s="28"/>
      <c r="V82" s="28"/>
      <c r="W82" s="28"/>
      <c r="X82" s="28"/>
      <c r="Y82" s="28"/>
      <c r="Z82" s="28"/>
    </row>
    <row r="83">
      <c r="A83" s="38" t="s">
        <v>2097</v>
      </c>
      <c r="B83" s="38" t="s">
        <v>48</v>
      </c>
      <c r="C83" s="64" t="s">
        <v>2098</v>
      </c>
      <c r="D83" s="38" t="s">
        <v>84</v>
      </c>
      <c r="E83" s="64" t="s">
        <v>2034</v>
      </c>
      <c r="F83" s="64" t="s">
        <v>2036</v>
      </c>
      <c r="G83" s="64" t="s">
        <v>2099</v>
      </c>
      <c r="H83" s="64" t="s">
        <v>97</v>
      </c>
      <c r="I83" s="64" t="s">
        <v>562</v>
      </c>
      <c r="J83" s="64"/>
      <c r="K83" s="38" t="s">
        <v>172</v>
      </c>
      <c r="L83" s="38" t="s">
        <v>127</v>
      </c>
      <c r="M83" s="38" t="s">
        <v>127</v>
      </c>
      <c r="N83" s="64"/>
      <c r="O83" s="64" t="s">
        <v>402</v>
      </c>
      <c r="P83" s="28"/>
      <c r="Q83" s="28"/>
      <c r="R83" s="28"/>
      <c r="S83" s="28"/>
      <c r="T83" s="28"/>
      <c r="U83" s="28"/>
      <c r="V83" s="28"/>
      <c r="W83" s="28"/>
      <c r="X83" s="28"/>
      <c r="Y83" s="28"/>
      <c r="Z83" s="28"/>
    </row>
    <row r="84">
      <c r="A84" s="38" t="s">
        <v>2100</v>
      </c>
      <c r="B84" s="38" t="s">
        <v>48</v>
      </c>
      <c r="C84" s="64" t="s">
        <v>2101</v>
      </c>
      <c r="D84" s="38" t="s">
        <v>84</v>
      </c>
      <c r="E84" s="64" t="s">
        <v>2102</v>
      </c>
      <c r="F84" s="64" t="s">
        <v>2104</v>
      </c>
      <c r="G84" s="64" t="s">
        <v>300</v>
      </c>
      <c r="H84" s="64" t="s">
        <v>97</v>
      </c>
      <c r="I84" s="64" t="s">
        <v>642</v>
      </c>
      <c r="J84" s="45" t="s">
        <v>144</v>
      </c>
      <c r="K84" s="38" t="s">
        <v>91</v>
      </c>
      <c r="L84" s="38" t="s">
        <v>127</v>
      </c>
      <c r="M84" s="38" t="s">
        <v>127</v>
      </c>
      <c r="N84" s="64"/>
      <c r="O84" s="64" t="s">
        <v>337</v>
      </c>
      <c r="P84" s="28"/>
      <c r="Q84" s="28"/>
      <c r="R84" s="28"/>
      <c r="S84" s="28"/>
      <c r="T84" s="28"/>
      <c r="U84" s="28"/>
      <c r="V84" s="28"/>
      <c r="W84" s="28"/>
      <c r="X84" s="28"/>
      <c r="Y84" s="28"/>
      <c r="Z84" s="28"/>
    </row>
    <row r="85">
      <c r="A85" s="38" t="s">
        <v>2109</v>
      </c>
      <c r="B85" s="38" t="s">
        <v>48</v>
      </c>
      <c r="C85" s="64" t="s">
        <v>2110</v>
      </c>
      <c r="D85" s="38" t="s">
        <v>84</v>
      </c>
      <c r="E85" s="64" t="s">
        <v>2112</v>
      </c>
      <c r="F85" s="64" t="s">
        <v>2113</v>
      </c>
      <c r="G85" s="64" t="s">
        <v>300</v>
      </c>
      <c r="H85" s="64" t="s">
        <v>97</v>
      </c>
      <c r="I85" s="64" t="s">
        <v>1746</v>
      </c>
      <c r="J85" s="45" t="s">
        <v>144</v>
      </c>
      <c r="K85" s="38" t="s">
        <v>91</v>
      </c>
      <c r="L85" s="38" t="s">
        <v>127</v>
      </c>
      <c r="M85" s="38" t="s">
        <v>127</v>
      </c>
      <c r="N85" s="64"/>
      <c r="O85" s="64" t="s">
        <v>1801</v>
      </c>
      <c r="P85" s="28"/>
      <c r="Q85" s="28"/>
      <c r="R85" s="28"/>
      <c r="S85" s="28"/>
      <c r="T85" s="28"/>
      <c r="U85" s="28"/>
      <c r="V85" s="28"/>
      <c r="W85" s="28"/>
      <c r="X85" s="28"/>
      <c r="Y85" s="28"/>
      <c r="Z85" s="28"/>
    </row>
    <row r="86">
      <c r="A86" s="38" t="s">
        <v>2116</v>
      </c>
      <c r="B86" s="38" t="s">
        <v>48</v>
      </c>
      <c r="C86" s="64" t="s">
        <v>2117</v>
      </c>
      <c r="D86" s="38" t="s">
        <v>84</v>
      </c>
      <c r="E86" s="45" t="s">
        <v>2119</v>
      </c>
      <c r="F86" s="45" t="s">
        <v>2120</v>
      </c>
      <c r="G86" s="64" t="s">
        <v>300</v>
      </c>
      <c r="H86" s="64" t="s">
        <v>97</v>
      </c>
      <c r="I86" s="64" t="s">
        <v>1746</v>
      </c>
      <c r="J86" s="64"/>
      <c r="K86" s="38" t="s">
        <v>172</v>
      </c>
      <c r="L86" s="38" t="s">
        <v>127</v>
      </c>
      <c r="M86" s="38" t="s">
        <v>127</v>
      </c>
      <c r="N86" s="64"/>
      <c r="O86" s="64" t="s">
        <v>206</v>
      </c>
      <c r="P86" s="28"/>
      <c r="Q86" s="28"/>
      <c r="R86" s="28"/>
      <c r="S86" s="28"/>
      <c r="T86" s="28"/>
      <c r="U86" s="28"/>
      <c r="V86" s="28"/>
      <c r="W86" s="28"/>
      <c r="X86" s="28"/>
      <c r="Y86" s="28"/>
      <c r="Z86" s="28"/>
    </row>
    <row r="87">
      <c r="A87" s="38" t="s">
        <v>2121</v>
      </c>
      <c r="B87" s="38" t="s">
        <v>48</v>
      </c>
      <c r="C87" s="64" t="s">
        <v>2123</v>
      </c>
      <c r="D87" s="38" t="s">
        <v>84</v>
      </c>
      <c r="E87" s="64" t="s">
        <v>2064</v>
      </c>
      <c r="F87" s="64" t="s">
        <v>2065</v>
      </c>
      <c r="G87" s="64" t="s">
        <v>300</v>
      </c>
      <c r="H87" s="64" t="s">
        <v>97</v>
      </c>
      <c r="I87" s="64" t="s">
        <v>1746</v>
      </c>
      <c r="J87" s="64"/>
      <c r="K87" s="38" t="s">
        <v>172</v>
      </c>
      <c r="L87" s="38" t="s">
        <v>127</v>
      </c>
      <c r="M87" s="38" t="s">
        <v>127</v>
      </c>
      <c r="N87" s="64"/>
      <c r="O87" s="64" t="s">
        <v>206</v>
      </c>
      <c r="P87" s="28"/>
      <c r="Q87" s="28"/>
      <c r="R87" s="28"/>
      <c r="S87" s="28"/>
      <c r="T87" s="28"/>
      <c r="U87" s="28"/>
      <c r="V87" s="28"/>
      <c r="W87" s="28"/>
      <c r="X87" s="28"/>
      <c r="Y87" s="28"/>
      <c r="Z87" s="28"/>
    </row>
    <row r="88">
      <c r="A88" s="38" t="s">
        <v>2128</v>
      </c>
      <c r="B88" s="38" t="s">
        <v>48</v>
      </c>
      <c r="C88" s="64" t="s">
        <v>1628</v>
      </c>
      <c r="D88" s="38" t="s">
        <v>84</v>
      </c>
      <c r="E88" s="64" t="s">
        <v>2034</v>
      </c>
      <c r="F88" s="64" t="s">
        <v>2036</v>
      </c>
      <c r="G88" s="64" t="s">
        <v>300</v>
      </c>
      <c r="H88" s="64" t="s">
        <v>97</v>
      </c>
      <c r="I88" s="64" t="s">
        <v>568</v>
      </c>
      <c r="J88" s="45" t="s">
        <v>144</v>
      </c>
      <c r="K88" s="38" t="s">
        <v>91</v>
      </c>
      <c r="L88" s="38" t="s">
        <v>127</v>
      </c>
      <c r="M88" s="38" t="s">
        <v>127</v>
      </c>
      <c r="N88" s="64"/>
      <c r="O88" s="64" t="s">
        <v>278</v>
      </c>
      <c r="P88" s="28"/>
      <c r="Q88" s="28"/>
      <c r="R88" s="28"/>
      <c r="S88" s="28"/>
      <c r="T88" s="28"/>
      <c r="U88" s="28"/>
      <c r="V88" s="28"/>
      <c r="W88" s="28"/>
      <c r="X88" s="28"/>
      <c r="Y88" s="28"/>
      <c r="Z88" s="28"/>
    </row>
    <row r="89">
      <c r="A89" s="38" t="s">
        <v>2132</v>
      </c>
      <c r="B89" s="38" t="s">
        <v>48</v>
      </c>
      <c r="C89" s="64" t="s">
        <v>2134</v>
      </c>
      <c r="D89" s="38" t="s">
        <v>84</v>
      </c>
      <c r="E89" s="64" t="s">
        <v>2034</v>
      </c>
      <c r="F89" s="64" t="s">
        <v>2036</v>
      </c>
      <c r="G89" s="64" t="s">
        <v>2135</v>
      </c>
      <c r="H89" s="64" t="s">
        <v>97</v>
      </c>
      <c r="I89" s="64" t="s">
        <v>2136</v>
      </c>
      <c r="J89" s="45" t="s">
        <v>144</v>
      </c>
      <c r="K89" s="38" t="s">
        <v>91</v>
      </c>
      <c r="L89" s="38" t="s">
        <v>127</v>
      </c>
      <c r="M89" s="38" t="s">
        <v>127</v>
      </c>
      <c r="N89" s="64"/>
      <c r="O89" s="64" t="s">
        <v>2138</v>
      </c>
      <c r="P89" s="28"/>
      <c r="Q89" s="28"/>
      <c r="R89" s="28"/>
      <c r="S89" s="28"/>
      <c r="T89" s="28"/>
      <c r="U89" s="28"/>
      <c r="V89" s="28"/>
      <c r="W89" s="28"/>
      <c r="X89" s="28"/>
      <c r="Y89" s="28"/>
      <c r="Z89" s="28"/>
    </row>
    <row r="90">
      <c r="A90" s="38" t="s">
        <v>2141</v>
      </c>
      <c r="B90" s="38" t="s">
        <v>48</v>
      </c>
      <c r="C90" s="64" t="s">
        <v>2142</v>
      </c>
      <c r="D90" s="38" t="s">
        <v>84</v>
      </c>
      <c r="E90" s="64" t="s">
        <v>2034</v>
      </c>
      <c r="F90" s="64" t="s">
        <v>2036</v>
      </c>
      <c r="G90" s="64" t="s">
        <v>300</v>
      </c>
      <c r="H90" s="64" t="s">
        <v>97</v>
      </c>
      <c r="I90" s="64" t="s">
        <v>2143</v>
      </c>
      <c r="J90" s="45" t="s">
        <v>144</v>
      </c>
      <c r="K90" s="38" t="s">
        <v>91</v>
      </c>
      <c r="L90" s="38" t="s">
        <v>127</v>
      </c>
      <c r="M90" s="38" t="s">
        <v>127</v>
      </c>
      <c r="N90" s="64"/>
      <c r="O90" s="64" t="s">
        <v>2147</v>
      </c>
      <c r="P90" s="28"/>
      <c r="Q90" s="28"/>
      <c r="R90" s="28"/>
      <c r="S90" s="28"/>
      <c r="T90" s="28"/>
      <c r="U90" s="28"/>
      <c r="V90" s="28"/>
      <c r="W90" s="28"/>
      <c r="X90" s="28"/>
      <c r="Y90" s="28"/>
      <c r="Z90" s="28"/>
    </row>
    <row r="91" ht="28.5" customHeight="1">
      <c r="A91" s="49" t="s">
        <v>2148</v>
      </c>
      <c r="B91" s="23"/>
      <c r="C91" s="23"/>
      <c r="D91" s="23"/>
      <c r="E91" s="23"/>
      <c r="F91" s="23"/>
      <c r="G91" s="23"/>
      <c r="H91" s="23"/>
      <c r="I91" s="23"/>
      <c r="J91" s="23"/>
      <c r="K91" s="23"/>
      <c r="L91" s="23"/>
      <c r="M91" s="23"/>
      <c r="N91" s="23"/>
      <c r="O91" s="23"/>
      <c r="P91" s="23"/>
      <c r="Q91" s="23"/>
      <c r="R91" s="23"/>
      <c r="S91" s="23"/>
      <c r="T91" s="23"/>
      <c r="U91" s="23"/>
      <c r="V91" s="23"/>
      <c r="W91" s="23"/>
      <c r="X91" s="23"/>
      <c r="Y91" s="23"/>
      <c r="Z91" s="24"/>
    </row>
    <row r="92">
      <c r="A92" s="38" t="s">
        <v>2150</v>
      </c>
      <c r="B92" s="38" t="s">
        <v>42</v>
      </c>
      <c r="C92" s="39" t="s">
        <v>2152</v>
      </c>
      <c r="D92" s="8" t="s">
        <v>84</v>
      </c>
      <c r="E92" s="8" t="s">
        <v>2154</v>
      </c>
      <c r="F92" s="39" t="s">
        <v>2155</v>
      </c>
      <c r="G92" s="39" t="s">
        <v>2156</v>
      </c>
      <c r="H92" s="39" t="s">
        <v>97</v>
      </c>
      <c r="I92" s="39" t="s">
        <v>2159</v>
      </c>
      <c r="J92" s="39" t="s">
        <v>2160</v>
      </c>
      <c r="K92" s="38" t="s">
        <v>91</v>
      </c>
      <c r="L92" s="8" t="s">
        <v>92</v>
      </c>
      <c r="M92" s="8" t="s">
        <v>92</v>
      </c>
      <c r="N92" s="42"/>
      <c r="O92" s="39" t="s">
        <v>2163</v>
      </c>
    </row>
    <row r="93">
      <c r="A93" s="38" t="s">
        <v>2164</v>
      </c>
      <c r="B93" s="38" t="s">
        <v>42</v>
      </c>
      <c r="C93" s="39" t="s">
        <v>95</v>
      </c>
      <c r="D93" s="8" t="s">
        <v>84</v>
      </c>
      <c r="E93" s="8" t="s">
        <v>2154</v>
      </c>
      <c r="F93" s="39" t="s">
        <v>2167</v>
      </c>
      <c r="G93" s="39" t="s">
        <v>2156</v>
      </c>
      <c r="H93" s="39" t="s">
        <v>97</v>
      </c>
      <c r="I93" s="39" t="s">
        <v>2169</v>
      </c>
      <c r="J93" s="39" t="s">
        <v>144</v>
      </c>
      <c r="K93" s="38" t="s">
        <v>91</v>
      </c>
      <c r="L93" s="8" t="s">
        <v>92</v>
      </c>
      <c r="M93" s="8" t="s">
        <v>92</v>
      </c>
      <c r="N93" s="42"/>
      <c r="O93" s="39" t="s">
        <v>2163</v>
      </c>
    </row>
    <row r="94">
      <c r="A94" s="38" t="s">
        <v>2170</v>
      </c>
      <c r="B94" s="38" t="s">
        <v>42</v>
      </c>
      <c r="C94" s="39" t="s">
        <v>2171</v>
      </c>
      <c r="D94" s="8" t="s">
        <v>84</v>
      </c>
      <c r="E94" s="8" t="s">
        <v>2154</v>
      </c>
      <c r="F94" s="39" t="s">
        <v>2167</v>
      </c>
      <c r="G94" s="39" t="s">
        <v>2156</v>
      </c>
      <c r="H94" s="39" t="s">
        <v>97</v>
      </c>
      <c r="I94" s="39" t="s">
        <v>2173</v>
      </c>
      <c r="J94" s="39" t="s">
        <v>144</v>
      </c>
      <c r="K94" s="38" t="s">
        <v>91</v>
      </c>
      <c r="L94" s="8" t="s">
        <v>92</v>
      </c>
      <c r="M94" s="8" t="s">
        <v>92</v>
      </c>
      <c r="N94" s="42"/>
      <c r="O94" s="39" t="s">
        <v>2163</v>
      </c>
    </row>
    <row r="95">
      <c r="A95" s="38" t="s">
        <v>2176</v>
      </c>
      <c r="B95" s="38" t="s">
        <v>42</v>
      </c>
      <c r="C95" s="39" t="s">
        <v>2177</v>
      </c>
      <c r="D95" s="8" t="s">
        <v>84</v>
      </c>
      <c r="E95" s="8" t="s">
        <v>2154</v>
      </c>
      <c r="F95" s="39" t="s">
        <v>2167</v>
      </c>
      <c r="G95" s="39" t="s">
        <v>2156</v>
      </c>
      <c r="H95" s="39" t="s">
        <v>97</v>
      </c>
      <c r="I95" s="39" t="s">
        <v>2178</v>
      </c>
      <c r="J95" s="39" t="s">
        <v>144</v>
      </c>
      <c r="K95" s="38" t="s">
        <v>91</v>
      </c>
      <c r="L95" s="8" t="s">
        <v>105</v>
      </c>
      <c r="M95" s="8" t="s">
        <v>105</v>
      </c>
      <c r="N95" s="42"/>
      <c r="O95" s="39" t="s">
        <v>2163</v>
      </c>
    </row>
    <row r="96">
      <c r="A96" s="38" t="s">
        <v>2181</v>
      </c>
      <c r="B96" s="38" t="s">
        <v>42</v>
      </c>
      <c r="C96" s="39" t="s">
        <v>2183</v>
      </c>
      <c r="D96" s="8" t="s">
        <v>84</v>
      </c>
      <c r="E96" s="8" t="s">
        <v>2154</v>
      </c>
      <c r="F96" s="39" t="s">
        <v>2184</v>
      </c>
      <c r="G96" s="39" t="s">
        <v>2185</v>
      </c>
      <c r="H96" s="39" t="s">
        <v>97</v>
      </c>
      <c r="I96" s="39" t="s">
        <v>2186</v>
      </c>
      <c r="J96" s="39" t="s">
        <v>144</v>
      </c>
      <c r="K96" s="38" t="s">
        <v>91</v>
      </c>
      <c r="L96" s="8" t="s">
        <v>92</v>
      </c>
      <c r="M96" s="8" t="s">
        <v>92</v>
      </c>
      <c r="N96" s="42"/>
      <c r="O96" s="39" t="s">
        <v>2163</v>
      </c>
    </row>
    <row r="97">
      <c r="A97" s="38" t="s">
        <v>2188</v>
      </c>
      <c r="B97" s="38" t="s">
        <v>42</v>
      </c>
      <c r="C97" s="39" t="s">
        <v>2189</v>
      </c>
      <c r="D97" s="8" t="s">
        <v>84</v>
      </c>
      <c r="E97" s="8" t="s">
        <v>2154</v>
      </c>
      <c r="F97" s="39" t="s">
        <v>2190</v>
      </c>
      <c r="G97" s="39" t="s">
        <v>2191</v>
      </c>
      <c r="H97" s="39" t="s">
        <v>97</v>
      </c>
      <c r="I97" s="39" t="s">
        <v>2192</v>
      </c>
      <c r="J97" s="39" t="s">
        <v>144</v>
      </c>
      <c r="K97" s="38" t="s">
        <v>91</v>
      </c>
      <c r="L97" s="8" t="s">
        <v>92</v>
      </c>
      <c r="M97" s="8" t="s">
        <v>92</v>
      </c>
      <c r="N97" s="42"/>
      <c r="O97" s="39" t="s">
        <v>2163</v>
      </c>
    </row>
    <row r="98">
      <c r="A98" s="38" t="s">
        <v>2194</v>
      </c>
      <c r="B98" s="38" t="s">
        <v>42</v>
      </c>
      <c r="C98" s="39" t="s">
        <v>2195</v>
      </c>
      <c r="D98" s="8" t="s">
        <v>84</v>
      </c>
      <c r="E98" s="8" t="s">
        <v>2154</v>
      </c>
      <c r="F98" s="39" t="s">
        <v>2198</v>
      </c>
      <c r="G98" s="39" t="s">
        <v>2200</v>
      </c>
      <c r="H98" s="39" t="s">
        <v>97</v>
      </c>
      <c r="I98" s="39" t="s">
        <v>2201</v>
      </c>
      <c r="J98" s="39" t="s">
        <v>144</v>
      </c>
      <c r="K98" s="38" t="s">
        <v>91</v>
      </c>
      <c r="L98" s="8" t="s">
        <v>92</v>
      </c>
      <c r="M98" s="8" t="s">
        <v>92</v>
      </c>
      <c r="N98" s="42"/>
      <c r="O98" s="39" t="s">
        <v>2163</v>
      </c>
    </row>
    <row r="99">
      <c r="A99" s="38" t="s">
        <v>2204</v>
      </c>
      <c r="B99" s="38" t="s">
        <v>42</v>
      </c>
      <c r="C99" s="39" t="s">
        <v>2205</v>
      </c>
      <c r="D99" s="8" t="s">
        <v>84</v>
      </c>
      <c r="E99" s="8" t="s">
        <v>2154</v>
      </c>
      <c r="F99" s="39" t="s">
        <v>2206</v>
      </c>
      <c r="G99" s="39"/>
      <c r="H99" s="39" t="s">
        <v>97</v>
      </c>
      <c r="I99" s="39" t="s">
        <v>2207</v>
      </c>
      <c r="J99" s="39" t="s">
        <v>144</v>
      </c>
      <c r="K99" s="38" t="s">
        <v>91</v>
      </c>
      <c r="L99" s="8" t="s">
        <v>105</v>
      </c>
      <c r="M99" s="8" t="s">
        <v>105</v>
      </c>
      <c r="N99" s="42"/>
      <c r="O99" s="39" t="s">
        <v>756</v>
      </c>
    </row>
    <row r="100">
      <c r="A100" s="38" t="s">
        <v>2209</v>
      </c>
      <c r="B100" s="38" t="s">
        <v>42</v>
      </c>
      <c r="C100" s="39" t="s">
        <v>2210</v>
      </c>
      <c r="D100" s="8" t="s">
        <v>84</v>
      </c>
      <c r="E100" s="8" t="s">
        <v>2154</v>
      </c>
      <c r="F100" s="39" t="s">
        <v>2211</v>
      </c>
      <c r="G100" s="39"/>
      <c r="H100" s="39" t="s">
        <v>97</v>
      </c>
      <c r="I100" s="39" t="s">
        <v>2212</v>
      </c>
      <c r="J100" s="39" t="s">
        <v>144</v>
      </c>
      <c r="K100" s="38" t="s">
        <v>91</v>
      </c>
      <c r="L100" s="8" t="s">
        <v>105</v>
      </c>
      <c r="M100" s="8" t="s">
        <v>105</v>
      </c>
      <c r="N100" s="42"/>
      <c r="O100" s="39" t="s">
        <v>756</v>
      </c>
    </row>
    <row r="101">
      <c r="A101" s="38" t="s">
        <v>2216</v>
      </c>
      <c r="B101" s="38" t="s">
        <v>42</v>
      </c>
      <c r="C101" s="39" t="s">
        <v>2217</v>
      </c>
      <c r="D101" s="8" t="s">
        <v>84</v>
      </c>
      <c r="E101" s="8" t="s">
        <v>2154</v>
      </c>
      <c r="F101" s="39" t="s">
        <v>2218</v>
      </c>
      <c r="G101" s="39"/>
      <c r="H101" s="39" t="s">
        <v>97</v>
      </c>
      <c r="I101" s="39" t="s">
        <v>2219</v>
      </c>
      <c r="J101" s="39" t="s">
        <v>144</v>
      </c>
      <c r="K101" s="38" t="s">
        <v>91</v>
      </c>
      <c r="L101" s="8" t="s">
        <v>105</v>
      </c>
      <c r="M101" s="8" t="s">
        <v>105</v>
      </c>
      <c r="N101" s="42"/>
      <c r="O101" s="39" t="s">
        <v>756</v>
      </c>
    </row>
    <row r="102">
      <c r="A102" s="38" t="s">
        <v>2223</v>
      </c>
      <c r="B102" s="38" t="s">
        <v>42</v>
      </c>
      <c r="C102" s="39" t="s">
        <v>2224</v>
      </c>
      <c r="D102" s="8" t="s">
        <v>84</v>
      </c>
      <c r="E102" s="8" t="s">
        <v>2154</v>
      </c>
      <c r="F102" s="39" t="s">
        <v>2225</v>
      </c>
      <c r="G102" s="39"/>
      <c r="H102" s="39" t="s">
        <v>97</v>
      </c>
      <c r="I102" s="39" t="s">
        <v>2226</v>
      </c>
      <c r="J102" s="39" t="s">
        <v>2228</v>
      </c>
      <c r="K102" s="38" t="s">
        <v>91</v>
      </c>
      <c r="L102" s="8" t="s">
        <v>105</v>
      </c>
      <c r="M102" s="8" t="s">
        <v>105</v>
      </c>
      <c r="N102" s="42"/>
      <c r="O102" s="39" t="s">
        <v>756</v>
      </c>
    </row>
    <row r="103">
      <c r="A103" s="38" t="s">
        <v>2231</v>
      </c>
      <c r="B103" s="38" t="s">
        <v>42</v>
      </c>
      <c r="C103" s="39" t="s">
        <v>389</v>
      </c>
      <c r="D103" s="8" t="s">
        <v>84</v>
      </c>
      <c r="E103" s="8" t="s">
        <v>2154</v>
      </c>
      <c r="F103" s="39"/>
      <c r="G103" s="39" t="s">
        <v>888</v>
      </c>
      <c r="H103" s="39" t="s">
        <v>97</v>
      </c>
      <c r="I103" s="39" t="s">
        <v>141</v>
      </c>
      <c r="J103" s="39" t="s">
        <v>500</v>
      </c>
      <c r="K103" s="38" t="s">
        <v>91</v>
      </c>
      <c r="L103" s="8" t="s">
        <v>427</v>
      </c>
      <c r="M103" s="8" t="s">
        <v>92</v>
      </c>
      <c r="N103" s="42"/>
      <c r="O103" s="39" t="s">
        <v>206</v>
      </c>
    </row>
    <row r="104">
      <c r="A104" s="38" t="s">
        <v>2232</v>
      </c>
      <c r="B104" s="38" t="s">
        <v>42</v>
      </c>
      <c r="C104" s="39" t="s">
        <v>153</v>
      </c>
      <c r="D104" s="8" t="s">
        <v>84</v>
      </c>
      <c r="E104" s="8" t="s">
        <v>2154</v>
      </c>
      <c r="F104" s="39"/>
      <c r="G104" s="39" t="s">
        <v>404</v>
      </c>
      <c r="H104" s="39" t="s">
        <v>97</v>
      </c>
      <c r="I104" s="39" t="s">
        <v>141</v>
      </c>
      <c r="J104" s="39" t="s">
        <v>144</v>
      </c>
      <c r="K104" s="38" t="s">
        <v>91</v>
      </c>
      <c r="L104" s="8" t="s">
        <v>92</v>
      </c>
      <c r="M104" s="8" t="s">
        <v>92</v>
      </c>
      <c r="N104" s="42"/>
      <c r="O104" s="39" t="s">
        <v>206</v>
      </c>
    </row>
    <row r="105">
      <c r="A105" s="38" t="s">
        <v>2233</v>
      </c>
      <c r="B105" s="38" t="s">
        <v>42</v>
      </c>
      <c r="C105" s="39" t="s">
        <v>2234</v>
      </c>
      <c r="D105" s="8" t="s">
        <v>84</v>
      </c>
      <c r="E105" s="8" t="s">
        <v>2154</v>
      </c>
      <c r="F105" s="39"/>
      <c r="G105" s="39" t="s">
        <v>902</v>
      </c>
      <c r="H105" s="39" t="s">
        <v>97</v>
      </c>
      <c r="I105" s="39" t="s">
        <v>967</v>
      </c>
      <c r="J105" s="42"/>
      <c r="K105" s="38" t="s">
        <v>172</v>
      </c>
      <c r="L105" s="8" t="s">
        <v>427</v>
      </c>
      <c r="M105" s="8" t="s">
        <v>92</v>
      </c>
      <c r="N105" s="42"/>
      <c r="O105" s="39" t="s">
        <v>206</v>
      </c>
    </row>
    <row r="106">
      <c r="A106" s="38" t="s">
        <v>2235</v>
      </c>
      <c r="B106" s="38" t="s">
        <v>42</v>
      </c>
      <c r="C106" s="39" t="s">
        <v>179</v>
      </c>
      <c r="D106" s="8" t="s">
        <v>84</v>
      </c>
      <c r="E106" s="8" t="s">
        <v>2154</v>
      </c>
      <c r="F106" s="39" t="s">
        <v>2167</v>
      </c>
      <c r="G106" s="39" t="s">
        <v>814</v>
      </c>
      <c r="H106" s="39" t="s">
        <v>97</v>
      </c>
      <c r="I106" s="39" t="s">
        <v>2236</v>
      </c>
      <c r="J106" s="39" t="s">
        <v>144</v>
      </c>
      <c r="K106" s="38" t="s">
        <v>91</v>
      </c>
      <c r="L106" s="8" t="s">
        <v>105</v>
      </c>
      <c r="M106" s="8" t="s">
        <v>105</v>
      </c>
      <c r="N106" s="42"/>
      <c r="O106" s="39" t="s">
        <v>278</v>
      </c>
    </row>
    <row r="107">
      <c r="A107" s="38" t="s">
        <v>2237</v>
      </c>
      <c r="B107" s="38" t="s">
        <v>42</v>
      </c>
      <c r="C107" s="39" t="s">
        <v>260</v>
      </c>
      <c r="D107" s="8" t="s">
        <v>84</v>
      </c>
      <c r="E107" s="8" t="s">
        <v>2154</v>
      </c>
      <c r="F107" s="39" t="s">
        <v>2167</v>
      </c>
      <c r="G107" s="39" t="s">
        <v>2238</v>
      </c>
      <c r="H107" s="39" t="s">
        <v>97</v>
      </c>
      <c r="I107" s="39" t="s">
        <v>262</v>
      </c>
      <c r="J107" s="39" t="s">
        <v>144</v>
      </c>
      <c r="K107" s="38" t="s">
        <v>91</v>
      </c>
      <c r="L107" s="8" t="s">
        <v>92</v>
      </c>
      <c r="M107" s="8" t="s">
        <v>92</v>
      </c>
      <c r="N107" s="42"/>
      <c r="O107" s="39" t="s">
        <v>527</v>
      </c>
    </row>
    <row r="108">
      <c r="A108" s="38" t="s">
        <v>2239</v>
      </c>
      <c r="B108" s="38" t="s">
        <v>42</v>
      </c>
      <c r="C108" s="39" t="s">
        <v>2240</v>
      </c>
      <c r="D108" s="8" t="s">
        <v>84</v>
      </c>
      <c r="E108" s="8" t="s">
        <v>2154</v>
      </c>
      <c r="F108" s="39" t="s">
        <v>2206</v>
      </c>
      <c r="G108" s="39"/>
      <c r="H108" s="39" t="s">
        <v>97</v>
      </c>
      <c r="I108" s="39" t="s">
        <v>2241</v>
      </c>
      <c r="J108" s="39" t="s">
        <v>144</v>
      </c>
      <c r="K108" s="38" t="s">
        <v>91</v>
      </c>
      <c r="L108" s="8" t="s">
        <v>105</v>
      </c>
      <c r="M108" s="8" t="s">
        <v>105</v>
      </c>
      <c r="N108" s="42"/>
      <c r="O108" s="39" t="s">
        <v>2242</v>
      </c>
    </row>
    <row r="109" ht="27.75" customHeight="1">
      <c r="A109" s="49" t="s">
        <v>2243</v>
      </c>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4"/>
    </row>
    <row r="110">
      <c r="A110" s="38" t="s">
        <v>2244</v>
      </c>
      <c r="B110" s="38" t="s">
        <v>42</v>
      </c>
      <c r="C110" s="39" t="s">
        <v>2245</v>
      </c>
      <c r="D110" s="8" t="s">
        <v>219</v>
      </c>
      <c r="E110" s="8" t="s">
        <v>2154</v>
      </c>
      <c r="F110" s="39" t="s">
        <v>2246</v>
      </c>
      <c r="G110" s="39" t="s">
        <v>970</v>
      </c>
      <c r="H110" s="39" t="s">
        <v>223</v>
      </c>
      <c r="I110" s="39" t="s">
        <v>2247</v>
      </c>
      <c r="J110" s="39" t="s">
        <v>2248</v>
      </c>
      <c r="K110" s="38" t="s">
        <v>91</v>
      </c>
      <c r="L110" s="8" t="s">
        <v>427</v>
      </c>
      <c r="M110" s="8" t="s">
        <v>92</v>
      </c>
      <c r="N110" s="42"/>
      <c r="O110" s="39" t="s">
        <v>2163</v>
      </c>
    </row>
    <row r="111">
      <c r="A111" s="38" t="s">
        <v>2249</v>
      </c>
      <c r="B111" s="38" t="s">
        <v>42</v>
      </c>
      <c r="C111" s="39" t="s">
        <v>95</v>
      </c>
      <c r="D111" s="8" t="s">
        <v>219</v>
      </c>
      <c r="E111" s="8" t="s">
        <v>2154</v>
      </c>
      <c r="F111" s="39" t="s">
        <v>333</v>
      </c>
      <c r="G111" s="39"/>
      <c r="H111" s="39" t="s">
        <v>97</v>
      </c>
      <c r="I111" s="39" t="s">
        <v>2250</v>
      </c>
      <c r="J111" s="39" t="s">
        <v>2251</v>
      </c>
      <c r="K111" s="38" t="s">
        <v>91</v>
      </c>
      <c r="L111" s="8" t="s">
        <v>92</v>
      </c>
      <c r="M111" s="8" t="s">
        <v>92</v>
      </c>
      <c r="N111" s="42"/>
      <c r="O111" s="39" t="s">
        <v>2163</v>
      </c>
    </row>
    <row r="112">
      <c r="A112" s="38" t="s">
        <v>2252</v>
      </c>
      <c r="B112" s="38" t="s">
        <v>42</v>
      </c>
      <c r="C112" s="39" t="s">
        <v>2253</v>
      </c>
      <c r="D112" s="8" t="s">
        <v>219</v>
      </c>
      <c r="E112" s="8" t="s">
        <v>2154</v>
      </c>
      <c r="F112" s="39" t="s">
        <v>333</v>
      </c>
      <c r="G112" s="39"/>
      <c r="H112" s="39" t="s">
        <v>97</v>
      </c>
      <c r="I112" s="39" t="s">
        <v>2254</v>
      </c>
      <c r="J112" s="39" t="s">
        <v>2255</v>
      </c>
      <c r="K112" s="38" t="s">
        <v>91</v>
      </c>
      <c r="L112" s="8" t="s">
        <v>92</v>
      </c>
      <c r="M112" s="8" t="s">
        <v>92</v>
      </c>
      <c r="N112" s="42"/>
      <c r="O112" s="39" t="s">
        <v>2163</v>
      </c>
    </row>
    <row r="113">
      <c r="A113" s="38" t="s">
        <v>2256</v>
      </c>
      <c r="B113" s="38" t="s">
        <v>42</v>
      </c>
      <c r="C113" s="39" t="s">
        <v>994</v>
      </c>
      <c r="D113" s="8" t="s">
        <v>219</v>
      </c>
      <c r="E113" s="8" t="s">
        <v>2154</v>
      </c>
      <c r="F113" s="39" t="s">
        <v>333</v>
      </c>
      <c r="G113" s="39"/>
      <c r="H113" s="39" t="s">
        <v>2257</v>
      </c>
      <c r="I113" s="39" t="s">
        <v>2258</v>
      </c>
      <c r="J113" s="39" t="s">
        <v>2259</v>
      </c>
      <c r="K113" s="38" t="s">
        <v>91</v>
      </c>
      <c r="L113" s="8" t="s">
        <v>427</v>
      </c>
      <c r="M113" s="8" t="s">
        <v>92</v>
      </c>
      <c r="N113" s="42"/>
      <c r="O113" s="39" t="s">
        <v>2163</v>
      </c>
    </row>
    <row r="114">
      <c r="A114" s="38" t="s">
        <v>2260</v>
      </c>
      <c r="B114" s="38" t="s">
        <v>42</v>
      </c>
      <c r="C114" s="39" t="s">
        <v>2261</v>
      </c>
      <c r="D114" s="8" t="s">
        <v>219</v>
      </c>
      <c r="E114" s="8" t="s">
        <v>2154</v>
      </c>
      <c r="F114" s="39" t="s">
        <v>2262</v>
      </c>
      <c r="G114" s="39"/>
      <c r="H114" s="39" t="s">
        <v>97</v>
      </c>
      <c r="I114" s="9" t="s">
        <v>468</v>
      </c>
      <c r="J114" s="39" t="s">
        <v>2259</v>
      </c>
      <c r="K114" s="38" t="s">
        <v>91</v>
      </c>
      <c r="L114" s="8" t="s">
        <v>92</v>
      </c>
      <c r="M114" s="8" t="s">
        <v>92</v>
      </c>
      <c r="N114" s="42"/>
      <c r="O114" s="39" t="s">
        <v>496</v>
      </c>
    </row>
    <row r="115">
      <c r="A115" s="38" t="s">
        <v>2263</v>
      </c>
      <c r="B115" s="38" t="s">
        <v>42</v>
      </c>
      <c r="C115" s="39" t="s">
        <v>2264</v>
      </c>
      <c r="D115" s="8" t="s">
        <v>219</v>
      </c>
      <c r="E115" s="8" t="s">
        <v>2154</v>
      </c>
      <c r="F115" s="39" t="s">
        <v>2265</v>
      </c>
      <c r="G115" s="39"/>
      <c r="H115" s="39" t="s">
        <v>97</v>
      </c>
      <c r="I115" s="9" t="s">
        <v>468</v>
      </c>
      <c r="J115" s="39" t="s">
        <v>2259</v>
      </c>
      <c r="K115" s="38" t="s">
        <v>91</v>
      </c>
      <c r="L115" s="8" t="s">
        <v>92</v>
      </c>
      <c r="M115" s="8" t="s">
        <v>92</v>
      </c>
      <c r="N115" s="42"/>
      <c r="O115" s="39" t="s">
        <v>496</v>
      </c>
    </row>
    <row r="116">
      <c r="A116" s="38" t="s">
        <v>2266</v>
      </c>
      <c r="B116" s="38" t="s">
        <v>42</v>
      </c>
      <c r="C116" s="39" t="s">
        <v>1710</v>
      </c>
      <c r="D116" s="8" t="s">
        <v>219</v>
      </c>
      <c r="E116" s="8" t="s">
        <v>2154</v>
      </c>
      <c r="F116" s="39" t="s">
        <v>2267</v>
      </c>
      <c r="G116" s="39"/>
      <c r="H116" s="39" t="s">
        <v>97</v>
      </c>
      <c r="I116" s="9" t="s">
        <v>468</v>
      </c>
      <c r="J116" s="39" t="s">
        <v>2259</v>
      </c>
      <c r="K116" s="38" t="s">
        <v>91</v>
      </c>
      <c r="L116" s="8" t="s">
        <v>92</v>
      </c>
      <c r="M116" s="8" t="s">
        <v>92</v>
      </c>
      <c r="N116" s="42"/>
      <c r="O116" s="39" t="s">
        <v>496</v>
      </c>
    </row>
    <row r="117">
      <c r="A117" s="38" t="s">
        <v>2268</v>
      </c>
      <c r="B117" s="38" t="s">
        <v>42</v>
      </c>
      <c r="C117" s="39" t="s">
        <v>2269</v>
      </c>
      <c r="D117" s="8" t="s">
        <v>219</v>
      </c>
      <c r="E117" s="8" t="s">
        <v>2154</v>
      </c>
      <c r="F117" s="39" t="s">
        <v>2270</v>
      </c>
      <c r="G117" s="39"/>
      <c r="H117" s="39" t="s">
        <v>97</v>
      </c>
      <c r="I117" s="9" t="s">
        <v>468</v>
      </c>
      <c r="J117" s="39" t="s">
        <v>2259</v>
      </c>
      <c r="K117" s="38" t="s">
        <v>91</v>
      </c>
      <c r="L117" s="8" t="s">
        <v>105</v>
      </c>
      <c r="M117" s="8" t="s">
        <v>92</v>
      </c>
      <c r="N117" s="42"/>
      <c r="O117" s="39" t="s">
        <v>496</v>
      </c>
    </row>
    <row r="118">
      <c r="A118" s="38" t="s">
        <v>2277</v>
      </c>
      <c r="B118" s="38" t="s">
        <v>42</v>
      </c>
      <c r="C118" s="39" t="s">
        <v>2278</v>
      </c>
      <c r="D118" s="8" t="s">
        <v>219</v>
      </c>
      <c r="E118" s="8" t="s">
        <v>2154</v>
      </c>
      <c r="F118" s="39" t="s">
        <v>1676</v>
      </c>
      <c r="G118" s="39" t="s">
        <v>2280</v>
      </c>
      <c r="H118" s="39" t="s">
        <v>97</v>
      </c>
      <c r="I118" s="9" t="s">
        <v>468</v>
      </c>
      <c r="J118" s="39" t="s">
        <v>2283</v>
      </c>
      <c r="K118" s="38" t="s">
        <v>91</v>
      </c>
      <c r="L118" s="8" t="s">
        <v>427</v>
      </c>
      <c r="M118" s="8" t="s">
        <v>92</v>
      </c>
      <c r="N118" s="42"/>
      <c r="O118" s="39" t="s">
        <v>496</v>
      </c>
    </row>
    <row r="119">
      <c r="A119" s="38" t="s">
        <v>2288</v>
      </c>
      <c r="B119" s="38" t="s">
        <v>42</v>
      </c>
      <c r="C119" s="39" t="s">
        <v>389</v>
      </c>
      <c r="D119" s="8" t="s">
        <v>219</v>
      </c>
      <c r="E119" s="8" t="s">
        <v>2154</v>
      </c>
      <c r="F119" s="39" t="s">
        <v>333</v>
      </c>
      <c r="G119" s="39" t="s">
        <v>888</v>
      </c>
      <c r="H119" s="39" t="s">
        <v>97</v>
      </c>
      <c r="I119" s="39" t="s">
        <v>2294</v>
      </c>
      <c r="J119" s="39" t="s">
        <v>2259</v>
      </c>
      <c r="K119" s="38" t="s">
        <v>91</v>
      </c>
      <c r="L119" s="8" t="s">
        <v>427</v>
      </c>
      <c r="M119" s="8" t="s">
        <v>92</v>
      </c>
      <c r="N119" s="42"/>
      <c r="O119" s="39" t="s">
        <v>206</v>
      </c>
    </row>
    <row r="120">
      <c r="A120" s="38" t="s">
        <v>2295</v>
      </c>
      <c r="B120" s="38" t="s">
        <v>42</v>
      </c>
      <c r="C120" s="39" t="s">
        <v>153</v>
      </c>
      <c r="D120" s="8" t="s">
        <v>219</v>
      </c>
      <c r="E120" s="8" t="s">
        <v>2154</v>
      </c>
      <c r="F120" s="39" t="s">
        <v>333</v>
      </c>
      <c r="G120" s="39" t="s">
        <v>404</v>
      </c>
      <c r="H120" s="39" t="s">
        <v>97</v>
      </c>
      <c r="I120" s="39" t="s">
        <v>2294</v>
      </c>
      <c r="J120" s="39" t="s">
        <v>2259</v>
      </c>
      <c r="K120" s="38" t="s">
        <v>91</v>
      </c>
      <c r="L120" s="8" t="s">
        <v>92</v>
      </c>
      <c r="M120" s="8" t="s">
        <v>92</v>
      </c>
      <c r="N120" s="42"/>
      <c r="O120" s="39" t="s">
        <v>206</v>
      </c>
    </row>
    <row r="121">
      <c r="A121" s="38" t="s">
        <v>2310</v>
      </c>
      <c r="B121" s="38" t="s">
        <v>42</v>
      </c>
      <c r="C121" s="39" t="s">
        <v>1042</v>
      </c>
      <c r="D121" s="8" t="s">
        <v>219</v>
      </c>
      <c r="E121" s="8" t="s">
        <v>2154</v>
      </c>
      <c r="F121" s="39" t="s">
        <v>333</v>
      </c>
      <c r="G121" s="39" t="s">
        <v>2312</v>
      </c>
      <c r="H121" s="39" t="s">
        <v>97</v>
      </c>
      <c r="I121" s="39" t="s">
        <v>967</v>
      </c>
      <c r="J121" s="42"/>
      <c r="K121" s="38" t="s">
        <v>172</v>
      </c>
      <c r="L121" s="8" t="s">
        <v>427</v>
      </c>
      <c r="M121" s="8" t="s">
        <v>92</v>
      </c>
      <c r="N121" s="42"/>
      <c r="O121" s="39" t="s">
        <v>206</v>
      </c>
    </row>
    <row r="122">
      <c r="A122" s="38" t="s">
        <v>2323</v>
      </c>
      <c r="B122" s="38" t="s">
        <v>42</v>
      </c>
      <c r="C122" s="39" t="s">
        <v>266</v>
      </c>
      <c r="D122" s="8" t="s">
        <v>219</v>
      </c>
      <c r="E122" s="8" t="s">
        <v>2154</v>
      </c>
      <c r="F122" s="39" t="s">
        <v>333</v>
      </c>
      <c r="G122" s="39" t="s">
        <v>814</v>
      </c>
      <c r="H122" s="39" t="s">
        <v>97</v>
      </c>
      <c r="I122" s="39" t="s">
        <v>2236</v>
      </c>
      <c r="J122" s="39" t="s">
        <v>144</v>
      </c>
      <c r="K122" s="38" t="s">
        <v>91</v>
      </c>
      <c r="L122" s="8" t="s">
        <v>105</v>
      </c>
      <c r="M122" s="8" t="s">
        <v>105</v>
      </c>
      <c r="N122" s="42"/>
      <c r="O122" s="39" t="s">
        <v>278</v>
      </c>
    </row>
    <row r="123">
      <c r="A123" s="38" t="s">
        <v>2341</v>
      </c>
      <c r="B123" s="38" t="s">
        <v>42</v>
      </c>
      <c r="C123" s="39" t="s">
        <v>1055</v>
      </c>
      <c r="D123" s="8" t="s">
        <v>219</v>
      </c>
      <c r="E123" s="8" t="s">
        <v>2154</v>
      </c>
      <c r="F123" s="39" t="s">
        <v>333</v>
      </c>
      <c r="G123" s="39" t="s">
        <v>261</v>
      </c>
      <c r="H123" s="39" t="s">
        <v>97</v>
      </c>
      <c r="I123" s="39" t="s">
        <v>262</v>
      </c>
      <c r="J123" s="39" t="s">
        <v>144</v>
      </c>
      <c r="K123" s="38" t="s">
        <v>91</v>
      </c>
      <c r="L123" s="8" t="s">
        <v>92</v>
      </c>
      <c r="M123" s="8" t="s">
        <v>92</v>
      </c>
      <c r="N123" s="42"/>
      <c r="O123" s="39" t="s">
        <v>527</v>
      </c>
    </row>
    <row r="124">
      <c r="A124" s="38" t="s">
        <v>2355</v>
      </c>
      <c r="B124" s="38" t="s">
        <v>42</v>
      </c>
      <c r="C124" s="39" t="s">
        <v>2356</v>
      </c>
      <c r="D124" s="8" t="s">
        <v>219</v>
      </c>
      <c r="E124" s="8" t="s">
        <v>2154</v>
      </c>
      <c r="F124" s="39" t="s">
        <v>333</v>
      </c>
      <c r="G124" s="39"/>
      <c r="H124" s="39" t="s">
        <v>97</v>
      </c>
      <c r="I124" s="39" t="s">
        <v>2360</v>
      </c>
      <c r="J124" s="39" t="s">
        <v>2362</v>
      </c>
      <c r="K124" s="38" t="s">
        <v>91</v>
      </c>
      <c r="L124" s="8" t="s">
        <v>427</v>
      </c>
      <c r="M124" s="8" t="s">
        <v>92</v>
      </c>
      <c r="N124" s="42"/>
      <c r="O124" s="39" t="s">
        <v>2242</v>
      </c>
    </row>
    <row r="125">
      <c r="A125" s="28"/>
      <c r="B125" s="28"/>
      <c r="C125" s="28"/>
      <c r="D125" s="26"/>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6"/>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6"/>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6"/>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6"/>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6"/>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6"/>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6"/>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6"/>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6"/>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6"/>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6"/>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6"/>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6"/>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6"/>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6"/>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6"/>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6"/>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6"/>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6"/>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6"/>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6"/>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6"/>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6"/>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6"/>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6"/>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6"/>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6"/>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6"/>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6"/>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6"/>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6"/>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6"/>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6"/>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6"/>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6"/>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6"/>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6"/>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6"/>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6"/>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6"/>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6"/>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6"/>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6"/>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6"/>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6"/>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6"/>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6"/>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6"/>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6"/>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6"/>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6"/>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6"/>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6"/>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6"/>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6"/>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6"/>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6"/>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6"/>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6"/>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6"/>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6"/>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6"/>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6"/>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6"/>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6"/>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6"/>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6"/>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6"/>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6"/>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6"/>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6"/>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6"/>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6"/>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6"/>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6"/>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6"/>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6"/>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6"/>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6"/>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6"/>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6"/>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6"/>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6"/>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6"/>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6"/>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6"/>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6"/>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6"/>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6"/>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6"/>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6"/>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6"/>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6"/>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6"/>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6"/>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6"/>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6"/>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6"/>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6"/>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6"/>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6"/>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6"/>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6"/>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6"/>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6"/>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6"/>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6"/>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6"/>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6"/>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6"/>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6"/>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6"/>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6"/>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6"/>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6"/>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6"/>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6"/>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6"/>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6"/>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6"/>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6"/>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6"/>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6"/>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6"/>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6"/>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6"/>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6"/>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6"/>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6"/>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6"/>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6"/>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6"/>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6"/>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6"/>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6"/>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6"/>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6"/>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6"/>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6"/>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6"/>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6"/>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6"/>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6"/>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6"/>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6"/>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6"/>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6"/>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6"/>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6"/>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6"/>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6"/>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6"/>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6"/>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6"/>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6"/>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6"/>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6"/>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6"/>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6"/>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6"/>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6"/>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6"/>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6"/>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6"/>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6"/>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6"/>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6"/>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6"/>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6"/>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6"/>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6"/>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6"/>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6"/>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6"/>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6"/>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6"/>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6"/>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6"/>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6"/>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6"/>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6"/>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6"/>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6"/>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6"/>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6"/>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6"/>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6"/>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6"/>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6"/>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6"/>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6"/>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6"/>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6"/>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6"/>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6"/>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6"/>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6"/>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6"/>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6"/>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6"/>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6"/>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6"/>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6"/>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6"/>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6"/>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6"/>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6"/>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6"/>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6"/>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6"/>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6"/>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6"/>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6"/>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6"/>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6"/>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6"/>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6"/>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6"/>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6"/>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6"/>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6"/>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6"/>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6"/>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6"/>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6"/>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6"/>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6"/>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6"/>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6"/>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6"/>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6"/>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6"/>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6"/>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6"/>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6"/>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6"/>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6"/>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6"/>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6"/>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6"/>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6"/>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6"/>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6"/>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6"/>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6"/>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6"/>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6"/>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6"/>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6"/>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6"/>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6"/>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6"/>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6"/>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6"/>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6"/>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6"/>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6"/>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6"/>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6"/>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6"/>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6"/>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6"/>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6"/>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6"/>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6"/>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6"/>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6"/>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6"/>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6"/>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6"/>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6"/>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6"/>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6"/>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6"/>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6"/>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6"/>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6"/>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6"/>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6"/>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6"/>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6"/>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6"/>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6"/>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6"/>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6"/>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6"/>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6"/>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6"/>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6"/>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6"/>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6"/>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6"/>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6"/>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6"/>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6"/>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6"/>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6"/>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6"/>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6"/>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6"/>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6"/>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6"/>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6"/>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6"/>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6"/>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6"/>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6"/>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6"/>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6"/>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6"/>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6"/>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6"/>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6"/>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6"/>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6"/>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6"/>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6"/>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6"/>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6"/>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6"/>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6"/>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6"/>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6"/>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6"/>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6"/>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6"/>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6"/>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6"/>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6"/>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6"/>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6"/>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6"/>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6"/>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6"/>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6"/>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6"/>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6"/>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6"/>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6"/>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6"/>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6"/>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6"/>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6"/>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6"/>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6"/>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6"/>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6"/>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6"/>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6"/>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6"/>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6"/>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6"/>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6"/>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6"/>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6"/>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6"/>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6"/>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6"/>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6"/>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6"/>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6"/>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6"/>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6"/>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6"/>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6"/>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6"/>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6"/>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6"/>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6"/>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6"/>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6"/>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6"/>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6"/>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6"/>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6"/>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6"/>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6"/>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6"/>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6"/>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6"/>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6"/>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6"/>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6"/>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6"/>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6"/>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6"/>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6"/>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6"/>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6"/>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6"/>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6"/>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6"/>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6"/>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6"/>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6"/>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6"/>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6"/>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6"/>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6"/>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6"/>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6"/>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6"/>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6"/>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6"/>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6"/>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6"/>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6"/>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6"/>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6"/>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6"/>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6"/>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6"/>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6"/>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6"/>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6"/>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6"/>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6"/>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6"/>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6"/>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6"/>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6"/>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6"/>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6"/>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6"/>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6"/>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6"/>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6"/>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6"/>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6"/>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6"/>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6"/>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6"/>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6"/>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6"/>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6"/>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6"/>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6"/>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6"/>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6"/>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6"/>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6"/>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6"/>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6"/>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6"/>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6"/>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6"/>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6"/>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6"/>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6"/>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6"/>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6"/>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6"/>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6"/>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6"/>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6"/>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6"/>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6"/>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6"/>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6"/>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6"/>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6"/>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6"/>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6"/>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6"/>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6"/>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6"/>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6"/>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6"/>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6"/>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6"/>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6"/>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6"/>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6"/>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6"/>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6"/>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6"/>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6"/>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6"/>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6"/>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6"/>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6"/>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6"/>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6"/>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6"/>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6"/>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6"/>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6"/>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6"/>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6"/>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6"/>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6"/>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6"/>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6"/>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6"/>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6"/>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6"/>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6"/>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6"/>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6"/>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6"/>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6"/>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6"/>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6"/>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6"/>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6"/>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6"/>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6"/>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6"/>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6"/>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6"/>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6"/>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6"/>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6"/>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6"/>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6"/>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6"/>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6"/>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6"/>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6"/>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6"/>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6"/>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6"/>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6"/>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6"/>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6"/>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6"/>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6"/>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6"/>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6"/>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6"/>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6"/>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6"/>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6"/>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6"/>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6"/>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6"/>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6"/>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6"/>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6"/>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6"/>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6"/>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6"/>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6"/>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6"/>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6"/>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6"/>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6"/>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6"/>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6"/>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6"/>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6"/>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6"/>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6"/>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6"/>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6"/>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6"/>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6"/>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6"/>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6"/>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6"/>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6"/>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6"/>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6"/>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6"/>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6"/>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6"/>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6"/>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6"/>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6"/>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6"/>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6"/>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6"/>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6"/>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6"/>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6"/>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6"/>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6"/>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6"/>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6"/>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6"/>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6"/>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6"/>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6"/>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6"/>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6"/>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6"/>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6"/>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6"/>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6"/>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6"/>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6"/>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6"/>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6"/>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6"/>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6"/>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6"/>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6"/>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6"/>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6"/>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6"/>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6"/>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6"/>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6"/>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6"/>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6"/>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6"/>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6"/>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6"/>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6"/>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6"/>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6"/>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6"/>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6"/>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6"/>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6"/>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6"/>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6"/>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6"/>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6"/>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6"/>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6"/>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6"/>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6"/>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6"/>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6"/>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6"/>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6"/>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6"/>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6"/>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6"/>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6"/>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6"/>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6"/>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6"/>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6"/>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6"/>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6"/>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6"/>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6"/>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6"/>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6"/>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6"/>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6"/>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6"/>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6"/>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6"/>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6"/>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6"/>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6"/>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6"/>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6"/>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6"/>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6"/>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6"/>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6"/>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6"/>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6"/>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6"/>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6"/>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6"/>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6"/>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6"/>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6"/>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6"/>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6"/>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6"/>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6"/>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6"/>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6"/>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6"/>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6"/>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6"/>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6"/>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6"/>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6"/>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6"/>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6"/>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6"/>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6"/>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6"/>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6"/>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6"/>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6"/>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6"/>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6"/>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6"/>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6"/>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6"/>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6"/>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6"/>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6"/>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6"/>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6"/>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6"/>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6"/>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6"/>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6"/>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6"/>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6"/>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6"/>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6"/>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6"/>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6"/>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6"/>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6"/>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6"/>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6"/>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6"/>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6"/>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6"/>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6"/>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6"/>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6"/>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6"/>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6"/>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6"/>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6"/>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6"/>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6"/>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6"/>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6"/>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6"/>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6"/>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6"/>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6"/>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6"/>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6"/>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6"/>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6"/>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6"/>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6"/>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6"/>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6"/>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6"/>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6"/>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6"/>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6"/>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6"/>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6"/>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6"/>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6"/>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6"/>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6"/>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6"/>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6"/>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6"/>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6"/>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6"/>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6"/>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6"/>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6"/>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6"/>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6"/>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6"/>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6"/>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6"/>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6"/>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6"/>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6"/>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6"/>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6"/>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6"/>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6"/>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6"/>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6"/>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6"/>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6"/>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6"/>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6"/>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6"/>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6"/>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6"/>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6"/>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6"/>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6"/>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6"/>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6"/>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6"/>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6"/>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6"/>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6"/>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6"/>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6"/>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6"/>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6"/>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6"/>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6"/>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6"/>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6"/>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6"/>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6"/>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6"/>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6"/>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6"/>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6"/>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6"/>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6"/>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6"/>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6"/>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6"/>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6"/>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6"/>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6"/>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6"/>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6"/>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6"/>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6"/>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6"/>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6"/>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6"/>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6"/>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6"/>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6"/>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6"/>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6"/>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6"/>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6"/>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6"/>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6"/>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6"/>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6"/>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6"/>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6"/>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6"/>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6"/>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6"/>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6"/>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6"/>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6"/>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6"/>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6"/>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6"/>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6"/>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6"/>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6"/>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6"/>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6"/>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6"/>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6"/>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6"/>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6"/>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6"/>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6"/>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6"/>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6"/>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6"/>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6"/>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6"/>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6"/>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6"/>
      <c r="E975" s="28"/>
      <c r="F975" s="28"/>
      <c r="G975" s="28"/>
      <c r="H975" s="28"/>
      <c r="I975" s="28"/>
      <c r="J975" s="28"/>
      <c r="K975" s="28"/>
      <c r="L975" s="28"/>
      <c r="M975" s="28"/>
      <c r="N975" s="28"/>
      <c r="O975" s="28"/>
      <c r="P975" s="28"/>
      <c r="Q975" s="28"/>
      <c r="R975" s="28"/>
      <c r="S975" s="28"/>
      <c r="T975" s="28"/>
      <c r="U975" s="28"/>
      <c r="V975" s="28"/>
      <c r="W975" s="28"/>
      <c r="X975" s="28"/>
      <c r="Y975" s="28"/>
      <c r="Z975" s="28"/>
    </row>
  </sheetData>
  <mergeCells count="6">
    <mergeCell ref="A3:Z3"/>
    <mergeCell ref="A26:Z26"/>
    <mergeCell ref="A51:Z51"/>
    <mergeCell ref="A74:Z74"/>
    <mergeCell ref="A91:Z91"/>
    <mergeCell ref="A109:Z109"/>
  </mergeCells>
  <dataValidations>
    <dataValidation type="list" allowBlank="1" showErrorMessage="1" sqref="D4:D25 D27:D50 D52:D73 D75:D90 D92:D108 D110:D124">
      <formula1>"GET,POST,PATCH,DELETE,PUT"</formula1>
    </dataValidation>
    <dataValidation type="list" allowBlank="1" showErrorMessage="1" sqref="L4:M25 L27:M50 L52:M73 L75:M90">
      <formula1>"High,Medium,Low,N/A"</formula1>
    </dataValidation>
    <dataValidation type="list" allowBlank="1" showErrorMessage="1" sqref="L92:M108 L110:M124">
      <formula1>"High,Medium,Low,N/A,Critical"</formula1>
    </dataValidation>
    <dataValidation type="list" allowBlank="1" showErrorMessage="1" sqref="K4:K25 K27:K50 K52:K73 K75:K90 K92:K108 K110:K124">
      <formula1>"Pass,Fail,Not tested,Fixed"</formula1>
    </dataValidation>
  </dataValidations>
  <hyperlinks>
    <hyperlink display="&lt;&lt;&lt;TestScenario" location="TestScenario!A1" ref="A1"/>
    <hyperlink display="&lt;&lt;&lt;APITestScenario" location="APIFunctionality!A1" ref="B1"/>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1.13"/>
    <col customWidth="1" min="3" max="3" width="25.25"/>
    <col customWidth="1" min="4" max="4" width="33.63"/>
    <col customWidth="1" min="5" max="5" width="37.5"/>
    <col customWidth="1" min="6" max="6" width="40.25"/>
    <col customWidth="1" min="7" max="7" width="37.0"/>
    <col customWidth="1" min="8" max="8" width="24.13"/>
    <col customWidth="1" min="9" max="11" width="22.63"/>
    <col customWidth="1" min="12" max="12" width="24.25"/>
    <col customWidth="1" min="13" max="13" width="23.75"/>
  </cols>
  <sheetData>
    <row r="1">
      <c r="A1" s="2" t="s">
        <v>0</v>
      </c>
    </row>
    <row r="2" ht="42.0" customHeight="1">
      <c r="A2" s="4" t="s">
        <v>55</v>
      </c>
      <c r="B2" s="4" t="s">
        <v>57</v>
      </c>
      <c r="C2" s="4" t="s">
        <v>58</v>
      </c>
      <c r="D2" s="4" t="s">
        <v>71</v>
      </c>
      <c r="E2" s="4" t="s">
        <v>72</v>
      </c>
      <c r="F2" s="4" t="s">
        <v>69</v>
      </c>
      <c r="G2" s="4" t="s">
        <v>1459</v>
      </c>
      <c r="H2" s="4" t="s">
        <v>74</v>
      </c>
      <c r="I2" s="4" t="s">
        <v>75</v>
      </c>
      <c r="J2" s="4" t="s">
        <v>76</v>
      </c>
      <c r="K2" s="4" t="s">
        <v>4</v>
      </c>
      <c r="L2" s="4" t="s">
        <v>77</v>
      </c>
      <c r="M2" s="4" t="s">
        <v>78</v>
      </c>
    </row>
    <row r="3">
      <c r="A3" s="8" t="s">
        <v>1461</v>
      </c>
      <c r="B3" s="8" t="s">
        <v>34</v>
      </c>
      <c r="C3" s="39" t="s">
        <v>1463</v>
      </c>
      <c r="D3" s="39" t="s">
        <v>1464</v>
      </c>
      <c r="E3" s="39" t="s">
        <v>1465</v>
      </c>
      <c r="F3" s="39" t="s">
        <v>1467</v>
      </c>
      <c r="G3" s="39" t="s">
        <v>1468</v>
      </c>
      <c r="H3" s="39" t="s">
        <v>1063</v>
      </c>
      <c r="I3" s="8" t="s">
        <v>91</v>
      </c>
      <c r="J3" s="8" t="s">
        <v>92</v>
      </c>
      <c r="K3" s="8" t="s">
        <v>92</v>
      </c>
      <c r="L3" s="39"/>
      <c r="M3" s="39" t="s">
        <v>130</v>
      </c>
    </row>
    <row r="4">
      <c r="A4" s="8" t="s">
        <v>1472</v>
      </c>
      <c r="B4" s="8" t="s">
        <v>34</v>
      </c>
      <c r="C4" s="39" t="s">
        <v>1475</v>
      </c>
      <c r="D4" s="39" t="s">
        <v>221</v>
      </c>
      <c r="E4" s="39" t="s">
        <v>1477</v>
      </c>
      <c r="F4" s="39" t="s">
        <v>1478</v>
      </c>
      <c r="G4" s="39" t="s">
        <v>1479</v>
      </c>
      <c r="H4" s="39" t="s">
        <v>1063</v>
      </c>
      <c r="I4" s="8" t="s">
        <v>91</v>
      </c>
      <c r="J4" s="8" t="s">
        <v>92</v>
      </c>
      <c r="K4" s="8" t="s">
        <v>92</v>
      </c>
      <c r="L4" s="39"/>
      <c r="M4" s="39" t="s">
        <v>1480</v>
      </c>
    </row>
    <row r="5">
      <c r="A5" s="8" t="s">
        <v>1482</v>
      </c>
      <c r="B5" s="8" t="s">
        <v>34</v>
      </c>
      <c r="C5" s="39" t="s">
        <v>1484</v>
      </c>
      <c r="D5" s="39" t="s">
        <v>210</v>
      </c>
      <c r="E5" s="39" t="s">
        <v>1485</v>
      </c>
      <c r="F5" s="39" t="s">
        <v>1486</v>
      </c>
      <c r="G5" s="39" t="s">
        <v>1479</v>
      </c>
      <c r="H5" s="39" t="s">
        <v>1063</v>
      </c>
      <c r="I5" s="8" t="s">
        <v>91</v>
      </c>
      <c r="J5" s="8" t="s">
        <v>92</v>
      </c>
      <c r="K5" s="8" t="s">
        <v>92</v>
      </c>
      <c r="L5" s="39"/>
      <c r="M5" s="39"/>
    </row>
    <row r="6">
      <c r="A6" s="8" t="s">
        <v>1489</v>
      </c>
      <c r="B6" s="8" t="s">
        <v>34</v>
      </c>
      <c r="C6" s="39" t="s">
        <v>1490</v>
      </c>
      <c r="D6" s="39" t="s">
        <v>210</v>
      </c>
      <c r="E6" s="39" t="s">
        <v>1491</v>
      </c>
      <c r="F6" s="39" t="s">
        <v>1492</v>
      </c>
      <c r="G6" s="39" t="s">
        <v>1479</v>
      </c>
      <c r="H6" s="39" t="s">
        <v>1063</v>
      </c>
      <c r="I6" s="8" t="s">
        <v>91</v>
      </c>
      <c r="J6" s="8" t="s">
        <v>92</v>
      </c>
      <c r="K6" s="8" t="s">
        <v>92</v>
      </c>
      <c r="L6" s="39"/>
      <c r="M6" s="39"/>
    </row>
    <row r="7">
      <c r="A7" s="8" t="s">
        <v>1496</v>
      </c>
      <c r="B7" s="8" t="s">
        <v>34</v>
      </c>
      <c r="C7" s="39" t="s">
        <v>1497</v>
      </c>
      <c r="D7" s="39" t="s">
        <v>221</v>
      </c>
      <c r="E7" s="39" t="s">
        <v>1498</v>
      </c>
      <c r="F7" s="39" t="s">
        <v>1500</v>
      </c>
      <c r="G7" s="39" t="s">
        <v>1501</v>
      </c>
      <c r="H7" s="39" t="s">
        <v>1063</v>
      </c>
      <c r="I7" s="8" t="s">
        <v>91</v>
      </c>
      <c r="J7" s="8" t="s">
        <v>92</v>
      </c>
      <c r="K7" s="8" t="s">
        <v>92</v>
      </c>
      <c r="L7" s="39"/>
      <c r="M7" s="39" t="s">
        <v>107</v>
      </c>
    </row>
    <row r="8">
      <c r="A8" s="8" t="s">
        <v>1504</v>
      </c>
      <c r="B8" s="8" t="s">
        <v>34</v>
      </c>
      <c r="C8" s="39" t="s">
        <v>1505</v>
      </c>
      <c r="D8" s="39" t="s">
        <v>210</v>
      </c>
      <c r="E8" s="39" t="s">
        <v>1507</v>
      </c>
      <c r="F8" s="39" t="s">
        <v>1508</v>
      </c>
      <c r="G8" s="39" t="s">
        <v>1509</v>
      </c>
      <c r="H8" s="39" t="s">
        <v>1063</v>
      </c>
      <c r="I8" s="8" t="s">
        <v>91</v>
      </c>
      <c r="J8" s="8" t="s">
        <v>121</v>
      </c>
      <c r="K8" s="8" t="s">
        <v>121</v>
      </c>
      <c r="L8" s="39"/>
      <c r="M8" s="39" t="s">
        <v>1512</v>
      </c>
    </row>
    <row r="9">
      <c r="A9" s="8" t="s">
        <v>1513</v>
      </c>
      <c r="B9" s="8" t="s">
        <v>34</v>
      </c>
      <c r="C9" s="39" t="s">
        <v>1515</v>
      </c>
      <c r="D9" s="39" t="s">
        <v>221</v>
      </c>
      <c r="E9" s="39" t="s">
        <v>1516</v>
      </c>
      <c r="F9" s="39" t="s">
        <v>127</v>
      </c>
      <c r="G9" s="39" t="s">
        <v>1518</v>
      </c>
      <c r="H9" s="39" t="s">
        <v>1063</v>
      </c>
      <c r="I9" s="8" t="s">
        <v>91</v>
      </c>
      <c r="J9" s="8" t="s">
        <v>92</v>
      </c>
      <c r="K9" s="8" t="s">
        <v>105</v>
      </c>
      <c r="L9" s="39"/>
      <c r="M9" s="39" t="s">
        <v>1519</v>
      </c>
    </row>
    <row r="10">
      <c r="A10" s="8" t="s">
        <v>1520</v>
      </c>
      <c r="B10" s="8" t="s">
        <v>34</v>
      </c>
      <c r="C10" s="39" t="s">
        <v>1044</v>
      </c>
      <c r="D10" s="39" t="s">
        <v>221</v>
      </c>
      <c r="E10" s="39" t="s">
        <v>1521</v>
      </c>
      <c r="F10" s="72" t="s">
        <v>1201</v>
      </c>
      <c r="G10" s="39" t="s">
        <v>1522</v>
      </c>
      <c r="H10" s="39" t="s">
        <v>1063</v>
      </c>
      <c r="I10" s="8" t="s">
        <v>91</v>
      </c>
      <c r="J10" s="8" t="s">
        <v>92</v>
      </c>
      <c r="K10" s="8" t="s">
        <v>92</v>
      </c>
      <c r="L10" s="39"/>
      <c r="M10" s="39" t="s">
        <v>1087</v>
      </c>
    </row>
    <row r="11">
      <c r="A11" s="8" t="s">
        <v>1524</v>
      </c>
      <c r="B11" s="8" t="s">
        <v>34</v>
      </c>
      <c r="C11" s="39" t="s">
        <v>1527</v>
      </c>
      <c r="D11" s="39" t="s">
        <v>210</v>
      </c>
      <c r="E11" s="39" t="s">
        <v>1528</v>
      </c>
      <c r="F11" s="39" t="s">
        <v>1529</v>
      </c>
      <c r="G11" s="39" t="s">
        <v>1530</v>
      </c>
      <c r="H11" s="39"/>
      <c r="I11" s="8" t="s">
        <v>1531</v>
      </c>
      <c r="J11" s="8" t="s">
        <v>92</v>
      </c>
      <c r="K11" s="8" t="s">
        <v>92</v>
      </c>
      <c r="L11" s="39"/>
      <c r="M11" s="39" t="s">
        <v>1533</v>
      </c>
    </row>
    <row r="12">
      <c r="A12" s="8" t="s">
        <v>1535</v>
      </c>
      <c r="B12" s="8" t="s">
        <v>34</v>
      </c>
      <c r="C12" s="39" t="s">
        <v>1536</v>
      </c>
      <c r="D12" s="39" t="s">
        <v>1537</v>
      </c>
      <c r="E12" s="39" t="s">
        <v>1538</v>
      </c>
      <c r="F12" s="39" t="s">
        <v>1539</v>
      </c>
      <c r="G12" s="39" t="s">
        <v>1400</v>
      </c>
      <c r="H12" s="39"/>
      <c r="I12" s="8" t="s">
        <v>1531</v>
      </c>
      <c r="J12" s="8" t="s">
        <v>92</v>
      </c>
      <c r="K12" s="8" t="s">
        <v>105</v>
      </c>
      <c r="L12" s="39"/>
      <c r="M12" s="39" t="s">
        <v>1541</v>
      </c>
    </row>
    <row r="13">
      <c r="A13" s="8" t="s">
        <v>1542</v>
      </c>
      <c r="B13" s="8" t="s">
        <v>34</v>
      </c>
      <c r="C13" s="39" t="s">
        <v>1543</v>
      </c>
      <c r="D13" s="39" t="s">
        <v>1544</v>
      </c>
      <c r="E13" s="39" t="s">
        <v>1545</v>
      </c>
      <c r="F13" s="39" t="s">
        <v>1546</v>
      </c>
      <c r="G13" s="39" t="s">
        <v>1400</v>
      </c>
      <c r="H13" s="39"/>
      <c r="I13" s="8" t="s">
        <v>1531</v>
      </c>
      <c r="J13" s="8" t="s">
        <v>92</v>
      </c>
      <c r="K13" s="8" t="s">
        <v>92</v>
      </c>
      <c r="L13" s="39"/>
      <c r="M13" s="39" t="s">
        <v>1548</v>
      </c>
    </row>
    <row r="14">
      <c r="A14" s="8" t="s">
        <v>1549</v>
      </c>
      <c r="B14" s="8" t="s">
        <v>34</v>
      </c>
      <c r="C14" s="39" t="s">
        <v>1550</v>
      </c>
      <c r="D14" s="39" t="s">
        <v>1544</v>
      </c>
      <c r="E14" s="39" t="s">
        <v>1552</v>
      </c>
      <c r="F14" s="39" t="s">
        <v>1553</v>
      </c>
      <c r="G14" s="39" t="s">
        <v>1430</v>
      </c>
      <c r="H14" s="39"/>
      <c r="I14" s="8" t="s">
        <v>1531</v>
      </c>
      <c r="J14" s="8" t="s">
        <v>92</v>
      </c>
      <c r="K14" s="8" t="s">
        <v>92</v>
      </c>
      <c r="L14" s="39"/>
      <c r="M14" s="39" t="s">
        <v>1556</v>
      </c>
    </row>
    <row r="15">
      <c r="A15" s="8" t="s">
        <v>1557</v>
      </c>
      <c r="B15" s="8" t="s">
        <v>34</v>
      </c>
      <c r="C15" s="39" t="s">
        <v>1558</v>
      </c>
      <c r="D15" s="39" t="s">
        <v>1559</v>
      </c>
      <c r="E15" s="39" t="s">
        <v>1560</v>
      </c>
      <c r="F15" s="39" t="s">
        <v>1561</v>
      </c>
      <c r="G15" s="39" t="s">
        <v>1562</v>
      </c>
      <c r="H15" s="39"/>
      <c r="I15" s="8" t="s">
        <v>1531</v>
      </c>
      <c r="J15" s="8" t="s">
        <v>105</v>
      </c>
      <c r="K15" s="8" t="s">
        <v>105</v>
      </c>
      <c r="L15" s="39"/>
      <c r="M15" s="39" t="s">
        <v>1563</v>
      </c>
    </row>
    <row r="16">
      <c r="A16" s="8" t="s">
        <v>1564</v>
      </c>
      <c r="B16" s="8" t="s">
        <v>34</v>
      </c>
      <c r="C16" s="39" t="s">
        <v>1566</v>
      </c>
      <c r="D16" s="39" t="s">
        <v>221</v>
      </c>
      <c r="E16" s="39" t="s">
        <v>1568</v>
      </c>
      <c r="F16" s="39" t="s">
        <v>127</v>
      </c>
      <c r="G16" s="39" t="s">
        <v>1569</v>
      </c>
      <c r="H16" s="39" t="s">
        <v>1063</v>
      </c>
      <c r="I16" s="8" t="s">
        <v>91</v>
      </c>
      <c r="J16" s="8" t="s">
        <v>121</v>
      </c>
      <c r="K16" s="8" t="s">
        <v>121</v>
      </c>
      <c r="L16" s="39"/>
      <c r="M16" s="39" t="s">
        <v>1570</v>
      </c>
    </row>
    <row r="17">
      <c r="A17" s="8" t="s">
        <v>1571</v>
      </c>
      <c r="B17" s="8" t="s">
        <v>34</v>
      </c>
      <c r="C17" s="39" t="s">
        <v>1573</v>
      </c>
      <c r="D17" s="39" t="s">
        <v>221</v>
      </c>
      <c r="E17" s="39" t="s">
        <v>1574</v>
      </c>
      <c r="F17" s="39" t="s">
        <v>127</v>
      </c>
      <c r="G17" s="39" t="s">
        <v>1577</v>
      </c>
      <c r="H17" s="39" t="s">
        <v>1063</v>
      </c>
      <c r="I17" s="8" t="s">
        <v>91</v>
      </c>
      <c r="J17" s="8" t="s">
        <v>121</v>
      </c>
      <c r="K17" s="8" t="s">
        <v>121</v>
      </c>
      <c r="L17" s="39"/>
      <c r="M17" s="39" t="s">
        <v>1570</v>
      </c>
    </row>
    <row r="18">
      <c r="A18" s="8" t="s">
        <v>1578</v>
      </c>
      <c r="B18" s="8" t="s">
        <v>34</v>
      </c>
      <c r="C18" s="39" t="s">
        <v>1579</v>
      </c>
      <c r="D18" s="39" t="s">
        <v>1580</v>
      </c>
      <c r="E18" s="39" t="s">
        <v>1581</v>
      </c>
      <c r="F18" s="39" t="s">
        <v>127</v>
      </c>
      <c r="G18" s="39" t="s">
        <v>1584</v>
      </c>
      <c r="H18" s="39"/>
      <c r="I18" s="8" t="s">
        <v>1531</v>
      </c>
      <c r="J18" s="8" t="s">
        <v>105</v>
      </c>
      <c r="K18" s="8" t="s">
        <v>105</v>
      </c>
      <c r="L18" s="39"/>
      <c r="M18" s="39"/>
    </row>
    <row r="19">
      <c r="A19" s="8" t="s">
        <v>1586</v>
      </c>
      <c r="B19" s="8" t="s">
        <v>34</v>
      </c>
      <c r="C19" s="39" t="s">
        <v>1587</v>
      </c>
      <c r="D19" s="39" t="s">
        <v>1589</v>
      </c>
      <c r="E19" s="39" t="s">
        <v>1591</v>
      </c>
      <c r="F19" s="39" t="s">
        <v>1397</v>
      </c>
      <c r="G19" s="39" t="s">
        <v>1594</v>
      </c>
      <c r="H19" s="39" t="s">
        <v>1063</v>
      </c>
      <c r="I19" s="8" t="s">
        <v>91</v>
      </c>
      <c r="J19" s="8" t="s">
        <v>92</v>
      </c>
      <c r="K19" s="8" t="s">
        <v>92</v>
      </c>
      <c r="L19" s="39"/>
      <c r="M19" s="39" t="s">
        <v>1598</v>
      </c>
    </row>
    <row r="20">
      <c r="A20" s="8" t="s">
        <v>1600</v>
      </c>
      <c r="B20" s="8" t="s">
        <v>34</v>
      </c>
      <c r="C20" s="39" t="s">
        <v>1602</v>
      </c>
      <c r="D20" s="39" t="s">
        <v>1604</v>
      </c>
      <c r="E20" s="39" t="s">
        <v>1605</v>
      </c>
      <c r="F20" s="39" t="s">
        <v>1539</v>
      </c>
      <c r="G20" s="39" t="s">
        <v>1606</v>
      </c>
      <c r="H20" s="39"/>
      <c r="I20" s="8" t="s">
        <v>1531</v>
      </c>
      <c r="J20" s="8" t="s">
        <v>92</v>
      </c>
      <c r="K20" s="8" t="s">
        <v>92</v>
      </c>
      <c r="L20" s="39"/>
      <c r="M20" s="39" t="s">
        <v>1340</v>
      </c>
    </row>
    <row r="21">
      <c r="A21" s="8" t="s">
        <v>1610</v>
      </c>
      <c r="B21" s="8" t="s">
        <v>34</v>
      </c>
      <c r="C21" s="39" t="s">
        <v>1611</v>
      </c>
      <c r="D21" s="39" t="s">
        <v>1226</v>
      </c>
      <c r="E21" s="39" t="s">
        <v>1612</v>
      </c>
      <c r="F21" s="39" t="s">
        <v>1613</v>
      </c>
      <c r="G21" s="39" t="s">
        <v>1133</v>
      </c>
      <c r="H21" s="39"/>
      <c r="I21" s="8" t="s">
        <v>1531</v>
      </c>
      <c r="J21" s="8" t="s">
        <v>105</v>
      </c>
      <c r="K21" s="8" t="s">
        <v>105</v>
      </c>
      <c r="L21" s="39"/>
      <c r="M21" s="39" t="s">
        <v>1616</v>
      </c>
    </row>
  </sheetData>
  <dataValidations>
    <dataValidation type="list" allowBlank="1" showErrorMessage="1" sqref="J3:K21">
      <formula1>"High,Medium,Low,N/A"</formula1>
    </dataValidation>
    <dataValidation type="list" allowBlank="1" showErrorMessage="1" sqref="I3:I21">
      <formula1>"Pass,Fail,Not Tested,Fixed"</formula1>
    </dataValidation>
  </dataValidations>
  <hyperlinks>
    <hyperlink display="&lt;&lt;&lt;TestScenario" location="TestScenario!A1" ref="A1"/>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7.75"/>
    <col customWidth="1" min="3" max="3" width="29.13"/>
    <col customWidth="1" min="4" max="4" width="27.38"/>
    <col customWidth="1" min="5" max="5" width="35.13"/>
    <col customWidth="1" min="6" max="6" width="27.63"/>
    <col customWidth="1" min="7" max="7" width="29.13"/>
    <col customWidth="1" min="8" max="8" width="29.0"/>
    <col customWidth="1" min="9" max="9" width="21.25"/>
    <col customWidth="1" min="10" max="10" width="17.38"/>
    <col customWidth="1" min="11" max="11" width="15.5"/>
    <col customWidth="1" min="12" max="12" width="22.88"/>
    <col customWidth="1" min="13" max="13" width="24.5"/>
  </cols>
  <sheetData>
    <row r="1">
      <c r="A1" s="2" t="s">
        <v>0</v>
      </c>
    </row>
    <row r="2" ht="33.0" customHeight="1">
      <c r="A2" s="4" t="s">
        <v>55</v>
      </c>
      <c r="B2" s="4" t="s">
        <v>57</v>
      </c>
      <c r="C2" s="4" t="s">
        <v>58</v>
      </c>
      <c r="D2" s="4" t="s">
        <v>71</v>
      </c>
      <c r="E2" s="4" t="s">
        <v>72</v>
      </c>
      <c r="F2" s="4" t="s">
        <v>69</v>
      </c>
      <c r="G2" s="4" t="s">
        <v>1459</v>
      </c>
      <c r="H2" s="4" t="s">
        <v>74</v>
      </c>
      <c r="I2" s="4" t="s">
        <v>75</v>
      </c>
      <c r="J2" s="4" t="s">
        <v>76</v>
      </c>
      <c r="K2" s="4" t="s">
        <v>4</v>
      </c>
      <c r="L2" s="4" t="s">
        <v>77</v>
      </c>
      <c r="M2" s="4" t="s">
        <v>78</v>
      </c>
    </row>
    <row r="3">
      <c r="A3" s="8" t="s">
        <v>1658</v>
      </c>
      <c r="B3" s="8" t="s">
        <v>44</v>
      </c>
      <c r="C3" s="39" t="s">
        <v>1660</v>
      </c>
      <c r="D3" s="39" t="s">
        <v>1662</v>
      </c>
      <c r="E3" s="39" t="s">
        <v>1663</v>
      </c>
      <c r="F3" s="39" t="s">
        <v>1664</v>
      </c>
      <c r="G3" s="39" t="s">
        <v>1665</v>
      </c>
      <c r="H3" s="39"/>
      <c r="I3" s="8" t="s">
        <v>1531</v>
      </c>
      <c r="J3" s="8" t="s">
        <v>92</v>
      </c>
      <c r="K3" s="8" t="s">
        <v>92</v>
      </c>
      <c r="L3" s="39"/>
      <c r="M3" s="39" t="s">
        <v>130</v>
      </c>
    </row>
    <row r="4">
      <c r="A4" s="8" t="s">
        <v>1670</v>
      </c>
      <c r="B4" s="8" t="s">
        <v>44</v>
      </c>
      <c r="C4" s="39" t="s">
        <v>1671</v>
      </c>
      <c r="D4" s="39" t="s">
        <v>1673</v>
      </c>
      <c r="E4" s="39" t="s">
        <v>1674</v>
      </c>
      <c r="F4" s="39" t="s">
        <v>1676</v>
      </c>
      <c r="G4" s="39" t="s">
        <v>1677</v>
      </c>
      <c r="H4" s="39"/>
      <c r="I4" s="8" t="s">
        <v>1531</v>
      </c>
      <c r="J4" s="8" t="s">
        <v>92</v>
      </c>
      <c r="K4" s="8" t="s">
        <v>92</v>
      </c>
      <c r="L4" s="39"/>
      <c r="M4" s="39" t="s">
        <v>1480</v>
      </c>
    </row>
    <row r="5">
      <c r="A5" s="8" t="s">
        <v>1680</v>
      </c>
      <c r="B5" s="8" t="s">
        <v>44</v>
      </c>
      <c r="C5" s="39" t="s">
        <v>1681</v>
      </c>
      <c r="D5" s="39" t="s">
        <v>221</v>
      </c>
      <c r="E5" s="39" t="s">
        <v>1682</v>
      </c>
      <c r="F5" s="39" t="s">
        <v>1684</v>
      </c>
      <c r="G5" s="39" t="s">
        <v>1686</v>
      </c>
      <c r="H5" s="39"/>
      <c r="I5" s="8" t="s">
        <v>1531</v>
      </c>
      <c r="J5" s="8" t="s">
        <v>105</v>
      </c>
      <c r="K5" s="8" t="s">
        <v>105</v>
      </c>
      <c r="L5" s="39"/>
      <c r="M5" s="39" t="s">
        <v>1431</v>
      </c>
    </row>
    <row r="6">
      <c r="A6" s="8" t="s">
        <v>1688</v>
      </c>
      <c r="B6" s="8" t="s">
        <v>44</v>
      </c>
      <c r="C6" s="39" t="s">
        <v>1689</v>
      </c>
      <c r="D6" s="39" t="s">
        <v>221</v>
      </c>
      <c r="E6" s="39" t="s">
        <v>1690</v>
      </c>
      <c r="F6" s="39" t="s">
        <v>1691</v>
      </c>
      <c r="G6" s="39" t="s">
        <v>1692</v>
      </c>
      <c r="H6" s="39"/>
      <c r="I6" s="8" t="s">
        <v>1531</v>
      </c>
      <c r="J6" s="8" t="s">
        <v>121</v>
      </c>
      <c r="K6" s="8" t="s">
        <v>105</v>
      </c>
      <c r="L6" s="39"/>
      <c r="M6" s="39" t="s">
        <v>107</v>
      </c>
    </row>
    <row r="7">
      <c r="A7" s="8" t="s">
        <v>1695</v>
      </c>
      <c r="B7" s="8" t="s">
        <v>44</v>
      </c>
      <c r="C7" s="39" t="s">
        <v>1697</v>
      </c>
      <c r="D7" s="39" t="s">
        <v>221</v>
      </c>
      <c r="E7" s="39" t="s">
        <v>1698</v>
      </c>
      <c r="F7" s="39" t="s">
        <v>127</v>
      </c>
      <c r="G7" s="39" t="s">
        <v>1699</v>
      </c>
      <c r="H7" s="39"/>
      <c r="I7" s="8" t="s">
        <v>1531</v>
      </c>
      <c r="J7" s="8" t="s">
        <v>92</v>
      </c>
      <c r="K7" s="8" t="s">
        <v>121</v>
      </c>
      <c r="L7" s="39"/>
      <c r="M7" s="39" t="s">
        <v>128</v>
      </c>
    </row>
    <row r="8">
      <c r="A8" s="8" t="s">
        <v>1702</v>
      </c>
      <c r="B8" s="8" t="s">
        <v>44</v>
      </c>
      <c r="C8" s="39" t="s">
        <v>1703</v>
      </c>
      <c r="D8" s="39" t="s">
        <v>221</v>
      </c>
      <c r="E8" s="39" t="s">
        <v>1705</v>
      </c>
      <c r="F8" s="39" t="s">
        <v>1706</v>
      </c>
      <c r="G8" s="39" t="s">
        <v>1707</v>
      </c>
      <c r="H8" s="39"/>
      <c r="I8" s="8" t="s">
        <v>1531</v>
      </c>
      <c r="J8" s="8" t="s">
        <v>105</v>
      </c>
      <c r="K8" s="8" t="s">
        <v>105</v>
      </c>
      <c r="L8" s="39"/>
      <c r="M8" s="39" t="s">
        <v>1708</v>
      </c>
    </row>
    <row r="9">
      <c r="A9" s="8" t="s">
        <v>1709</v>
      </c>
      <c r="B9" s="8" t="s">
        <v>44</v>
      </c>
      <c r="C9" s="39" t="s">
        <v>1710</v>
      </c>
      <c r="D9" s="39" t="s">
        <v>221</v>
      </c>
      <c r="E9" s="39" t="s">
        <v>1712</v>
      </c>
      <c r="F9" s="39" t="s">
        <v>1713</v>
      </c>
      <c r="G9" s="39" t="s">
        <v>1715</v>
      </c>
      <c r="H9" s="39"/>
      <c r="I9" s="8" t="s">
        <v>1531</v>
      </c>
      <c r="J9" s="8" t="s">
        <v>121</v>
      </c>
      <c r="K9" s="8" t="s">
        <v>105</v>
      </c>
      <c r="L9" s="39"/>
      <c r="M9" s="39" t="s">
        <v>1717</v>
      </c>
    </row>
    <row r="10">
      <c r="A10" s="8" t="s">
        <v>1718</v>
      </c>
      <c r="B10" s="8" t="s">
        <v>44</v>
      </c>
      <c r="C10" s="39" t="s">
        <v>1719</v>
      </c>
      <c r="D10" s="39" t="s">
        <v>221</v>
      </c>
      <c r="E10" s="39" t="s">
        <v>1720</v>
      </c>
      <c r="F10" s="39" t="s">
        <v>1721</v>
      </c>
      <c r="G10" s="39" t="s">
        <v>1722</v>
      </c>
      <c r="H10" s="39"/>
      <c r="I10" s="8" t="s">
        <v>1531</v>
      </c>
      <c r="J10" s="8" t="s">
        <v>105</v>
      </c>
      <c r="K10" s="8" t="s">
        <v>105</v>
      </c>
      <c r="L10" s="39"/>
      <c r="M10" s="39" t="s">
        <v>981</v>
      </c>
    </row>
    <row r="11">
      <c r="A11" s="8" t="s">
        <v>1727</v>
      </c>
      <c r="B11" s="8" t="s">
        <v>44</v>
      </c>
      <c r="C11" s="39" t="s">
        <v>1728</v>
      </c>
      <c r="D11" s="39" t="s">
        <v>1729</v>
      </c>
      <c r="E11" s="39" t="s">
        <v>1730</v>
      </c>
      <c r="F11" s="39" t="s">
        <v>1731</v>
      </c>
      <c r="G11" s="39" t="s">
        <v>1732</v>
      </c>
      <c r="H11" s="39"/>
      <c r="I11" s="8" t="s">
        <v>1531</v>
      </c>
      <c r="J11" s="8" t="s">
        <v>92</v>
      </c>
      <c r="K11" s="8" t="s">
        <v>105</v>
      </c>
      <c r="L11" s="39"/>
      <c r="M11" s="39" t="s">
        <v>1734</v>
      </c>
    </row>
    <row r="12">
      <c r="A12" s="8" t="s">
        <v>1735</v>
      </c>
      <c r="B12" s="8" t="s">
        <v>44</v>
      </c>
      <c r="C12" s="39" t="s">
        <v>1736</v>
      </c>
      <c r="D12" s="39" t="s">
        <v>221</v>
      </c>
      <c r="E12" s="39" t="s">
        <v>1737</v>
      </c>
      <c r="F12" s="72" t="s">
        <v>1201</v>
      </c>
      <c r="G12" s="39" t="s">
        <v>1738</v>
      </c>
      <c r="H12" s="39"/>
      <c r="I12" s="8" t="s">
        <v>1531</v>
      </c>
      <c r="J12" s="8" t="s">
        <v>92</v>
      </c>
      <c r="K12" s="8" t="s">
        <v>92</v>
      </c>
      <c r="L12" s="39"/>
      <c r="M12" s="39" t="s">
        <v>1087</v>
      </c>
    </row>
    <row r="13">
      <c r="A13" s="8" t="s">
        <v>1739</v>
      </c>
      <c r="B13" s="8" t="s">
        <v>44</v>
      </c>
      <c r="C13" s="39" t="s">
        <v>1740</v>
      </c>
      <c r="D13" s="39" t="s">
        <v>221</v>
      </c>
      <c r="E13" s="39" t="s">
        <v>1741</v>
      </c>
      <c r="F13" s="81" t="s">
        <v>1742</v>
      </c>
      <c r="G13" s="39" t="s">
        <v>1749</v>
      </c>
      <c r="H13" s="39"/>
      <c r="I13" s="8" t="s">
        <v>1531</v>
      </c>
      <c r="J13" s="8" t="s">
        <v>121</v>
      </c>
      <c r="K13" s="8" t="s">
        <v>121</v>
      </c>
      <c r="L13" s="39"/>
      <c r="M13" s="39" t="s">
        <v>1752</v>
      </c>
    </row>
    <row r="14">
      <c r="A14" s="8" t="s">
        <v>1753</v>
      </c>
      <c r="B14" s="8" t="s">
        <v>44</v>
      </c>
      <c r="C14" s="39" t="s">
        <v>1754</v>
      </c>
      <c r="D14" s="39" t="s">
        <v>221</v>
      </c>
      <c r="E14" s="39" t="s">
        <v>1755</v>
      </c>
      <c r="F14" s="39" t="s">
        <v>1756</v>
      </c>
      <c r="G14" s="39" t="s">
        <v>1758</v>
      </c>
      <c r="H14" s="39"/>
      <c r="I14" s="8" t="s">
        <v>1531</v>
      </c>
      <c r="J14" s="8" t="s">
        <v>105</v>
      </c>
      <c r="K14" s="8" t="s">
        <v>105</v>
      </c>
      <c r="L14" s="39"/>
      <c r="M14" s="39" t="s">
        <v>1761</v>
      </c>
    </row>
    <row r="15">
      <c r="A15" s="8" t="s">
        <v>1762</v>
      </c>
      <c r="B15" s="8" t="s">
        <v>44</v>
      </c>
      <c r="C15" s="39" t="s">
        <v>1763</v>
      </c>
      <c r="D15" s="39" t="s">
        <v>221</v>
      </c>
      <c r="E15" s="39" t="s">
        <v>1764</v>
      </c>
      <c r="F15" s="39" t="s">
        <v>1425</v>
      </c>
      <c r="G15" s="39" t="s">
        <v>1749</v>
      </c>
      <c r="H15" s="39"/>
      <c r="I15" s="8" t="s">
        <v>1531</v>
      </c>
      <c r="J15" s="8" t="s">
        <v>105</v>
      </c>
      <c r="K15" s="8" t="s">
        <v>105</v>
      </c>
      <c r="L15" s="39"/>
      <c r="M15" s="39" t="s">
        <v>1431</v>
      </c>
    </row>
    <row r="16">
      <c r="A16" s="8" t="s">
        <v>1768</v>
      </c>
      <c r="B16" s="8" t="s">
        <v>44</v>
      </c>
      <c r="C16" s="39" t="s">
        <v>1770</v>
      </c>
      <c r="D16" s="39" t="s">
        <v>221</v>
      </c>
      <c r="E16" s="39" t="s">
        <v>1771</v>
      </c>
      <c r="F16" s="39" t="s">
        <v>1429</v>
      </c>
      <c r="G16" s="39" t="s">
        <v>1772</v>
      </c>
      <c r="H16" s="39"/>
      <c r="I16" s="8" t="s">
        <v>1531</v>
      </c>
      <c r="J16" s="8" t="s">
        <v>105</v>
      </c>
      <c r="K16" s="8" t="s">
        <v>105</v>
      </c>
      <c r="L16" s="39"/>
      <c r="M16" s="39" t="s">
        <v>1776</v>
      </c>
    </row>
    <row r="17">
      <c r="A17" s="8" t="s">
        <v>1777</v>
      </c>
      <c r="B17" s="8" t="s">
        <v>44</v>
      </c>
      <c r="C17" s="39" t="s">
        <v>1779</v>
      </c>
      <c r="D17" s="39" t="s">
        <v>221</v>
      </c>
      <c r="E17" s="39" t="s">
        <v>1780</v>
      </c>
      <c r="F17" s="39" t="s">
        <v>1781</v>
      </c>
      <c r="G17" s="39" t="s">
        <v>1749</v>
      </c>
      <c r="H17" s="39"/>
      <c r="I17" s="8" t="s">
        <v>1531</v>
      </c>
      <c r="J17" s="8" t="s">
        <v>121</v>
      </c>
      <c r="K17" s="8" t="s">
        <v>121</v>
      </c>
      <c r="L17" s="39"/>
      <c r="M17" s="39" t="s">
        <v>1785</v>
      </c>
    </row>
    <row r="18">
      <c r="A18" s="8" t="s">
        <v>1786</v>
      </c>
      <c r="B18" s="8" t="s">
        <v>44</v>
      </c>
      <c r="C18" s="39" t="s">
        <v>1787</v>
      </c>
      <c r="D18" s="39" t="s">
        <v>221</v>
      </c>
      <c r="E18" s="39" t="s">
        <v>1788</v>
      </c>
      <c r="F18" s="39" t="s">
        <v>1789</v>
      </c>
      <c r="G18" s="39" t="s">
        <v>1758</v>
      </c>
      <c r="H18" s="39"/>
      <c r="I18" s="8" t="s">
        <v>1531</v>
      </c>
      <c r="J18" s="8" t="s">
        <v>121</v>
      </c>
      <c r="K18" s="8" t="s">
        <v>105</v>
      </c>
      <c r="L18" s="39"/>
      <c r="M18" s="39" t="s">
        <v>1794</v>
      </c>
    </row>
    <row r="19">
      <c r="A19" s="8" t="s">
        <v>1795</v>
      </c>
      <c r="B19" s="8" t="s">
        <v>44</v>
      </c>
      <c r="C19" s="39" t="s">
        <v>1796</v>
      </c>
      <c r="D19" s="39" t="s">
        <v>221</v>
      </c>
      <c r="E19" s="39" t="s">
        <v>1797</v>
      </c>
      <c r="F19" s="39" t="s">
        <v>1799</v>
      </c>
      <c r="G19" s="39" t="s">
        <v>1758</v>
      </c>
      <c r="H19" s="39"/>
      <c r="I19" s="8" t="s">
        <v>1531</v>
      </c>
      <c r="J19" s="8" t="s">
        <v>121</v>
      </c>
      <c r="K19" s="8" t="s">
        <v>105</v>
      </c>
      <c r="L19" s="39"/>
      <c r="M19" s="39" t="s">
        <v>1801</v>
      </c>
    </row>
    <row r="20">
      <c r="A20" s="8" t="s">
        <v>1803</v>
      </c>
      <c r="B20" s="8" t="s">
        <v>44</v>
      </c>
      <c r="C20" s="39" t="s">
        <v>1808</v>
      </c>
      <c r="D20" s="39" t="s">
        <v>221</v>
      </c>
      <c r="E20" s="39" t="s">
        <v>1810</v>
      </c>
      <c r="F20" s="39" t="s">
        <v>1812</v>
      </c>
      <c r="G20" s="39" t="s">
        <v>1813</v>
      </c>
      <c r="H20" s="39"/>
      <c r="I20" s="8" t="s">
        <v>1531</v>
      </c>
      <c r="J20" s="8" t="s">
        <v>105</v>
      </c>
      <c r="K20" s="8" t="s">
        <v>105</v>
      </c>
      <c r="L20" s="39"/>
      <c r="M20" s="39" t="s">
        <v>1815</v>
      </c>
    </row>
    <row r="21">
      <c r="A21" s="8" t="s">
        <v>1817</v>
      </c>
      <c r="B21" s="8" t="s">
        <v>44</v>
      </c>
      <c r="C21" s="39" t="s">
        <v>1819</v>
      </c>
      <c r="D21" s="39" t="s">
        <v>1820</v>
      </c>
      <c r="E21" s="39" t="s">
        <v>1698</v>
      </c>
      <c r="F21" s="39" t="s">
        <v>127</v>
      </c>
      <c r="G21" s="39" t="s">
        <v>1823</v>
      </c>
      <c r="H21" s="39"/>
      <c r="I21" s="8" t="s">
        <v>1531</v>
      </c>
      <c r="J21" s="8" t="s">
        <v>105</v>
      </c>
      <c r="K21" s="8" t="s">
        <v>105</v>
      </c>
      <c r="L21" s="39"/>
      <c r="M21" s="39" t="s">
        <v>1825</v>
      </c>
    </row>
    <row r="22">
      <c r="A22" s="8" t="s">
        <v>1827</v>
      </c>
      <c r="B22" s="8" t="s">
        <v>44</v>
      </c>
      <c r="C22" s="39" t="s">
        <v>1828</v>
      </c>
      <c r="D22" s="39" t="s">
        <v>1829</v>
      </c>
      <c r="E22" s="39" t="s">
        <v>1831</v>
      </c>
      <c r="F22" s="39" t="s">
        <v>1832</v>
      </c>
      <c r="G22" s="39" t="s">
        <v>1833</v>
      </c>
      <c r="H22" s="39"/>
      <c r="I22" s="8" t="s">
        <v>1531</v>
      </c>
      <c r="J22" s="8" t="s">
        <v>92</v>
      </c>
      <c r="K22" s="8" t="s">
        <v>105</v>
      </c>
      <c r="L22" s="39"/>
      <c r="M22" s="39" t="s">
        <v>436</v>
      </c>
    </row>
    <row r="23">
      <c r="A23" s="8" t="s">
        <v>1834</v>
      </c>
      <c r="B23" s="8" t="s">
        <v>44</v>
      </c>
      <c r="C23" s="39" t="s">
        <v>1835</v>
      </c>
      <c r="D23" s="39" t="s">
        <v>1836</v>
      </c>
      <c r="E23" s="39" t="s">
        <v>1837</v>
      </c>
      <c r="F23" s="39" t="s">
        <v>1838</v>
      </c>
      <c r="G23" s="39" t="s">
        <v>1839</v>
      </c>
      <c r="H23" s="39"/>
      <c r="I23" s="8" t="s">
        <v>1531</v>
      </c>
      <c r="J23" s="8" t="s">
        <v>92</v>
      </c>
      <c r="K23" s="8" t="s">
        <v>92</v>
      </c>
      <c r="L23" s="39"/>
      <c r="M23" s="39" t="s">
        <v>299</v>
      </c>
    </row>
    <row r="24">
      <c r="A24" s="8" t="s">
        <v>1841</v>
      </c>
      <c r="B24" s="8" t="s">
        <v>44</v>
      </c>
      <c r="C24" s="39" t="s">
        <v>1842</v>
      </c>
      <c r="D24" s="39" t="s">
        <v>1843</v>
      </c>
      <c r="E24" s="39" t="s">
        <v>1844</v>
      </c>
      <c r="F24" s="39" t="s">
        <v>1846</v>
      </c>
      <c r="G24" s="39" t="s">
        <v>1847</v>
      </c>
      <c r="H24" s="39"/>
      <c r="I24" s="8" t="s">
        <v>1531</v>
      </c>
      <c r="J24" s="8" t="s">
        <v>92</v>
      </c>
      <c r="K24" s="8" t="s">
        <v>92</v>
      </c>
      <c r="L24" s="39"/>
      <c r="M24" s="39" t="s">
        <v>1851</v>
      </c>
    </row>
    <row r="25">
      <c r="A25" s="8" t="s">
        <v>1853</v>
      </c>
      <c r="B25" s="8" t="s">
        <v>44</v>
      </c>
      <c r="C25" s="39" t="s">
        <v>1856</v>
      </c>
      <c r="D25" s="39" t="s">
        <v>1226</v>
      </c>
      <c r="E25" s="39" t="s">
        <v>1857</v>
      </c>
      <c r="F25" s="39" t="s">
        <v>1858</v>
      </c>
      <c r="G25" s="39" t="s">
        <v>1859</v>
      </c>
      <c r="H25" s="39"/>
      <c r="I25" s="8" t="s">
        <v>1531</v>
      </c>
      <c r="J25" s="8" t="s">
        <v>105</v>
      </c>
      <c r="K25" s="8" t="s">
        <v>105</v>
      </c>
      <c r="L25" s="39"/>
      <c r="M25" s="39" t="s">
        <v>1134</v>
      </c>
    </row>
    <row r="26">
      <c r="A26" s="8" t="s">
        <v>1862</v>
      </c>
      <c r="B26" s="8" t="s">
        <v>44</v>
      </c>
      <c r="C26" s="39" t="s">
        <v>1864</v>
      </c>
      <c r="D26" s="39" t="s">
        <v>1866</v>
      </c>
      <c r="E26" s="39" t="s">
        <v>1868</v>
      </c>
      <c r="F26" s="39" t="s">
        <v>1832</v>
      </c>
      <c r="G26" s="39" t="s">
        <v>1869</v>
      </c>
      <c r="H26" s="39"/>
      <c r="I26" s="8" t="s">
        <v>1531</v>
      </c>
      <c r="J26" s="8" t="s">
        <v>92</v>
      </c>
      <c r="K26" s="8" t="s">
        <v>105</v>
      </c>
      <c r="L26" s="39"/>
      <c r="M26" s="39" t="s">
        <v>1870</v>
      </c>
    </row>
  </sheetData>
  <dataValidations>
    <dataValidation type="list" allowBlank="1" showErrorMessage="1" sqref="J3:K26">
      <formula1>"High,Medium,Low,N/A"</formula1>
    </dataValidation>
    <dataValidation type="list" allowBlank="1" showErrorMessage="1" sqref="I3:I26">
      <formula1>"Pass,Fail,Not Tested,Fixed"</formula1>
    </dataValidation>
  </dataValidations>
  <hyperlinks>
    <hyperlink display="&lt;&lt;&lt;TestScenario" location="TestScenario!A1" ref="A1"/>
    <hyperlink r:id="rId1" ref="F1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9.13"/>
    <col customWidth="1" min="3" max="3" width="36.75"/>
    <col customWidth="1" min="4" max="4" width="31.38"/>
    <col customWidth="1" min="5" max="5" width="30.75"/>
    <col customWidth="1" min="6" max="6" width="30.88"/>
    <col customWidth="1" min="7" max="7" width="28.13"/>
    <col customWidth="1" min="8" max="8" width="29.0"/>
    <col customWidth="1" min="9" max="9" width="18.0"/>
    <col customWidth="1" min="10" max="10" width="14.38"/>
    <col customWidth="1" min="11" max="11" width="15.63"/>
    <col customWidth="1" min="12" max="12" width="17.38"/>
    <col customWidth="1" min="13" max="13" width="25.75"/>
  </cols>
  <sheetData>
    <row r="1">
      <c r="A1" s="82" t="s">
        <v>1898</v>
      </c>
    </row>
    <row r="2" ht="36.0" customHeight="1">
      <c r="A2" s="4" t="s">
        <v>55</v>
      </c>
      <c r="B2" s="4" t="s">
        <v>57</v>
      </c>
      <c r="C2" s="4" t="s">
        <v>58</v>
      </c>
      <c r="D2" s="4" t="s">
        <v>71</v>
      </c>
      <c r="E2" s="4" t="s">
        <v>72</v>
      </c>
      <c r="F2" s="4" t="s">
        <v>69</v>
      </c>
      <c r="G2" s="4" t="s">
        <v>1459</v>
      </c>
      <c r="H2" s="4" t="s">
        <v>74</v>
      </c>
      <c r="I2" s="4" t="s">
        <v>75</v>
      </c>
      <c r="J2" s="4" t="s">
        <v>76</v>
      </c>
      <c r="K2" s="4" t="s">
        <v>4</v>
      </c>
      <c r="L2" s="4" t="s">
        <v>77</v>
      </c>
      <c r="M2" s="4" t="s">
        <v>78</v>
      </c>
    </row>
    <row r="3">
      <c r="A3" s="8" t="s">
        <v>1901</v>
      </c>
      <c r="B3" s="8" t="s">
        <v>53</v>
      </c>
      <c r="C3" s="39" t="s">
        <v>1902</v>
      </c>
      <c r="D3" s="39" t="s">
        <v>1905</v>
      </c>
      <c r="E3" s="39" t="s">
        <v>1906</v>
      </c>
      <c r="F3" s="39" t="s">
        <v>1907</v>
      </c>
      <c r="G3" s="39" t="s">
        <v>1908</v>
      </c>
      <c r="H3" s="10"/>
      <c r="I3" s="38" t="s">
        <v>1531</v>
      </c>
      <c r="J3" s="8" t="s">
        <v>92</v>
      </c>
      <c r="K3" s="8" t="s">
        <v>92</v>
      </c>
      <c r="L3" s="10"/>
      <c r="M3" s="8"/>
    </row>
    <row r="4">
      <c r="A4" s="8" t="s">
        <v>1911</v>
      </c>
      <c r="B4" s="8" t="s">
        <v>53</v>
      </c>
      <c r="C4" s="39" t="s">
        <v>1914</v>
      </c>
      <c r="D4" s="39" t="s">
        <v>1905</v>
      </c>
      <c r="E4" s="39" t="s">
        <v>1916</v>
      </c>
      <c r="F4" s="39" t="s">
        <v>1917</v>
      </c>
      <c r="G4" s="39" t="s">
        <v>1918</v>
      </c>
      <c r="H4" s="10"/>
      <c r="I4" s="38" t="s">
        <v>1531</v>
      </c>
      <c r="J4" s="8" t="s">
        <v>92</v>
      </c>
      <c r="K4" s="8" t="s">
        <v>92</v>
      </c>
      <c r="L4" s="10"/>
      <c r="M4" s="8"/>
    </row>
    <row r="5">
      <c r="A5" s="8" t="s">
        <v>1919</v>
      </c>
      <c r="B5" s="8" t="s">
        <v>53</v>
      </c>
      <c r="C5" s="39" t="s">
        <v>1920</v>
      </c>
      <c r="D5" s="39" t="s">
        <v>1921</v>
      </c>
      <c r="E5" s="39" t="s">
        <v>1922</v>
      </c>
      <c r="F5" s="39" t="s">
        <v>1539</v>
      </c>
      <c r="G5" s="39" t="s">
        <v>1923</v>
      </c>
      <c r="H5" s="10"/>
      <c r="I5" s="38" t="s">
        <v>1531</v>
      </c>
      <c r="J5" s="8" t="s">
        <v>92</v>
      </c>
      <c r="K5" s="8" t="s">
        <v>92</v>
      </c>
      <c r="L5" s="10"/>
      <c r="M5" s="8"/>
    </row>
    <row r="6">
      <c r="A6" s="8" t="s">
        <v>1925</v>
      </c>
      <c r="B6" s="8" t="s">
        <v>53</v>
      </c>
      <c r="C6" s="39" t="s">
        <v>1927</v>
      </c>
      <c r="D6" s="39" t="s">
        <v>1928</v>
      </c>
      <c r="E6" s="39" t="s">
        <v>1929</v>
      </c>
      <c r="F6" s="39" t="s">
        <v>1930</v>
      </c>
      <c r="G6" s="39" t="s">
        <v>1931</v>
      </c>
      <c r="H6" s="10"/>
      <c r="I6" s="38" t="s">
        <v>1531</v>
      </c>
      <c r="J6" s="8" t="s">
        <v>92</v>
      </c>
      <c r="K6" s="8" t="s">
        <v>92</v>
      </c>
      <c r="L6" s="10"/>
      <c r="M6" s="8"/>
    </row>
    <row r="7">
      <c r="A7" s="8" t="s">
        <v>1933</v>
      </c>
      <c r="B7" s="8" t="s">
        <v>53</v>
      </c>
      <c r="C7" s="39" t="s">
        <v>1935</v>
      </c>
      <c r="D7" s="39" t="s">
        <v>1936</v>
      </c>
      <c r="E7" s="39" t="s">
        <v>1937</v>
      </c>
      <c r="F7" s="39" t="s">
        <v>1938</v>
      </c>
      <c r="G7" s="39" t="s">
        <v>1939</v>
      </c>
      <c r="H7" s="10"/>
      <c r="I7" s="38" t="s">
        <v>1531</v>
      </c>
      <c r="J7" s="8" t="s">
        <v>92</v>
      </c>
      <c r="K7" s="8" t="s">
        <v>92</v>
      </c>
      <c r="L7" s="10"/>
      <c r="M7" s="8"/>
    </row>
    <row r="8">
      <c r="A8" s="83"/>
      <c r="B8" s="84" t="s">
        <v>1940</v>
      </c>
      <c r="C8" s="23"/>
      <c r="D8" s="23"/>
      <c r="E8" s="23"/>
      <c r="F8" s="23"/>
      <c r="G8" s="23"/>
      <c r="H8" s="24"/>
      <c r="I8" s="49"/>
      <c r="J8" s="23"/>
      <c r="K8" s="23"/>
      <c r="L8" s="23"/>
      <c r="M8" s="24"/>
    </row>
    <row r="9">
      <c r="A9" s="8" t="s">
        <v>1944</v>
      </c>
      <c r="B9" s="8" t="s">
        <v>53</v>
      </c>
      <c r="C9" s="39" t="s">
        <v>1945</v>
      </c>
      <c r="D9" s="39" t="s">
        <v>1946</v>
      </c>
      <c r="E9" s="39" t="s">
        <v>1947</v>
      </c>
      <c r="F9" s="39" t="s">
        <v>1948</v>
      </c>
      <c r="G9" s="39" t="s">
        <v>1949</v>
      </c>
      <c r="H9" s="10"/>
      <c r="I9" s="38" t="s">
        <v>1531</v>
      </c>
      <c r="J9" s="8" t="s">
        <v>105</v>
      </c>
      <c r="K9" s="8" t="s">
        <v>105</v>
      </c>
      <c r="L9" s="10"/>
      <c r="M9" s="8"/>
    </row>
    <row r="10">
      <c r="A10" s="8" t="s">
        <v>1954</v>
      </c>
      <c r="B10" s="8" t="s">
        <v>53</v>
      </c>
      <c r="C10" s="39" t="s">
        <v>1956</v>
      </c>
      <c r="D10" s="39" t="s">
        <v>1946</v>
      </c>
      <c r="E10" s="39" t="s">
        <v>1958</v>
      </c>
      <c r="F10" s="39" t="s">
        <v>1959</v>
      </c>
      <c r="G10" s="39" t="s">
        <v>1961</v>
      </c>
      <c r="H10" s="10"/>
      <c r="I10" s="38" t="s">
        <v>1531</v>
      </c>
      <c r="J10" s="8" t="s">
        <v>105</v>
      </c>
      <c r="K10" s="8" t="s">
        <v>105</v>
      </c>
      <c r="L10" s="10"/>
      <c r="M10" s="8"/>
    </row>
    <row r="11">
      <c r="A11" s="8" t="s">
        <v>1962</v>
      </c>
      <c r="B11" s="8" t="s">
        <v>53</v>
      </c>
      <c r="C11" s="39" t="s">
        <v>1963</v>
      </c>
      <c r="D11" s="39" t="s">
        <v>1946</v>
      </c>
      <c r="E11" s="39" t="s">
        <v>1964</v>
      </c>
      <c r="F11" s="39" t="s">
        <v>1965</v>
      </c>
      <c r="G11" s="39" t="s">
        <v>1949</v>
      </c>
      <c r="H11" s="10"/>
      <c r="I11" s="38" t="s">
        <v>1531</v>
      </c>
      <c r="J11" s="8" t="s">
        <v>105</v>
      </c>
      <c r="K11" s="8" t="s">
        <v>105</v>
      </c>
      <c r="L11" s="10"/>
      <c r="M11" s="8"/>
    </row>
    <row r="12">
      <c r="A12" s="8" t="s">
        <v>1969</v>
      </c>
      <c r="B12" s="8" t="s">
        <v>53</v>
      </c>
      <c r="C12" s="39" t="s">
        <v>1971</v>
      </c>
      <c r="D12" s="39" t="s">
        <v>1946</v>
      </c>
      <c r="E12" s="39" t="s">
        <v>1972</v>
      </c>
      <c r="F12" s="39" t="s">
        <v>1973</v>
      </c>
      <c r="G12" s="39" t="s">
        <v>1974</v>
      </c>
      <c r="H12" s="10"/>
      <c r="I12" s="38" t="s">
        <v>1531</v>
      </c>
      <c r="J12" s="8" t="s">
        <v>105</v>
      </c>
      <c r="K12" s="8" t="s">
        <v>105</v>
      </c>
      <c r="L12" s="10"/>
      <c r="M12" s="8"/>
    </row>
    <row r="13">
      <c r="A13" s="8" t="s">
        <v>1976</v>
      </c>
      <c r="B13" s="8" t="s">
        <v>53</v>
      </c>
      <c r="C13" s="39" t="s">
        <v>1977</v>
      </c>
      <c r="D13" s="39" t="s">
        <v>1946</v>
      </c>
      <c r="E13" s="39" t="s">
        <v>1978</v>
      </c>
      <c r="F13" s="39" t="s">
        <v>1979</v>
      </c>
      <c r="G13" s="39" t="s">
        <v>1949</v>
      </c>
      <c r="H13" s="10"/>
      <c r="I13" s="38" t="s">
        <v>1531</v>
      </c>
      <c r="J13" s="8" t="s">
        <v>121</v>
      </c>
      <c r="K13" s="8" t="s">
        <v>121</v>
      </c>
      <c r="L13" s="10"/>
      <c r="M13" s="8"/>
    </row>
    <row r="14">
      <c r="A14" s="8" t="s">
        <v>1983</v>
      </c>
      <c r="B14" s="8" t="s">
        <v>53</v>
      </c>
      <c r="C14" s="39" t="s">
        <v>1984</v>
      </c>
      <c r="D14" s="39" t="s">
        <v>1946</v>
      </c>
      <c r="E14" s="39" t="s">
        <v>1978</v>
      </c>
      <c r="F14" s="39" t="s">
        <v>1917</v>
      </c>
      <c r="G14" s="39" t="s">
        <v>1918</v>
      </c>
      <c r="H14" s="10"/>
      <c r="I14" s="38" t="s">
        <v>1531</v>
      </c>
      <c r="J14" s="8" t="s">
        <v>92</v>
      </c>
      <c r="K14" s="8" t="s">
        <v>92</v>
      </c>
      <c r="L14" s="10"/>
      <c r="M14" s="8"/>
    </row>
    <row r="15">
      <c r="A15" s="8" t="s">
        <v>1987</v>
      </c>
      <c r="B15" s="8" t="s">
        <v>53</v>
      </c>
      <c r="C15" s="39" t="s">
        <v>1988</v>
      </c>
      <c r="D15" s="39" t="s">
        <v>1989</v>
      </c>
      <c r="E15" s="39" t="s">
        <v>1990</v>
      </c>
      <c r="F15" s="39" t="s">
        <v>1991</v>
      </c>
      <c r="G15" s="39" t="s">
        <v>1992</v>
      </c>
      <c r="H15" s="10"/>
      <c r="I15" s="38" t="s">
        <v>1531</v>
      </c>
      <c r="J15" s="8" t="s">
        <v>92</v>
      </c>
      <c r="K15" s="8" t="s">
        <v>92</v>
      </c>
      <c r="L15" s="10"/>
      <c r="M15" s="8"/>
    </row>
    <row r="16">
      <c r="A16" s="8" t="s">
        <v>1995</v>
      </c>
      <c r="B16" s="8" t="s">
        <v>53</v>
      </c>
      <c r="C16" s="39" t="s">
        <v>1996</v>
      </c>
      <c r="D16" s="39" t="s">
        <v>1997</v>
      </c>
      <c r="E16" s="39" t="s">
        <v>1937</v>
      </c>
      <c r="F16" s="39" t="s">
        <v>1938</v>
      </c>
      <c r="G16" s="39" t="s">
        <v>1998</v>
      </c>
      <c r="H16" s="10"/>
      <c r="I16" s="38" t="s">
        <v>1531</v>
      </c>
      <c r="J16" s="8" t="s">
        <v>105</v>
      </c>
      <c r="K16" s="8" t="s">
        <v>105</v>
      </c>
      <c r="L16" s="10"/>
      <c r="M16" s="8"/>
    </row>
    <row r="17">
      <c r="A17" s="8" t="s">
        <v>1999</v>
      </c>
      <c r="B17" s="8" t="s">
        <v>53</v>
      </c>
      <c r="C17" s="39" t="s">
        <v>2001</v>
      </c>
      <c r="D17" s="39" t="s">
        <v>1936</v>
      </c>
      <c r="E17" s="39" t="s">
        <v>1937</v>
      </c>
      <c r="F17" s="39" t="s">
        <v>1938</v>
      </c>
      <c r="G17" s="39" t="s">
        <v>2002</v>
      </c>
      <c r="H17" s="10"/>
      <c r="I17" s="38" t="s">
        <v>1531</v>
      </c>
      <c r="J17" s="8" t="s">
        <v>92</v>
      </c>
      <c r="K17" s="8" t="s">
        <v>92</v>
      </c>
      <c r="L17" s="10"/>
      <c r="M17" s="8"/>
    </row>
    <row r="18">
      <c r="A18" s="83"/>
      <c r="B18" s="84" t="s">
        <v>2003</v>
      </c>
      <c r="C18" s="23"/>
      <c r="D18" s="23"/>
      <c r="E18" s="23"/>
      <c r="F18" s="23"/>
      <c r="G18" s="23"/>
      <c r="H18" s="24"/>
      <c r="I18" s="49"/>
      <c r="J18" s="23"/>
      <c r="K18" s="23"/>
      <c r="L18" s="23"/>
      <c r="M18" s="24"/>
    </row>
    <row r="19">
      <c r="A19" s="8" t="s">
        <v>2004</v>
      </c>
      <c r="B19" s="8" t="s">
        <v>53</v>
      </c>
      <c r="C19" s="39" t="s">
        <v>2005</v>
      </c>
      <c r="D19" s="39" t="s">
        <v>2006</v>
      </c>
      <c r="E19" s="39" t="s">
        <v>2008</v>
      </c>
      <c r="F19" s="39" t="s">
        <v>2009</v>
      </c>
      <c r="G19" s="39" t="s">
        <v>2010</v>
      </c>
      <c r="H19" s="10"/>
      <c r="I19" s="38" t="s">
        <v>1531</v>
      </c>
      <c r="J19" s="8" t="s">
        <v>105</v>
      </c>
      <c r="K19" s="8" t="s">
        <v>105</v>
      </c>
      <c r="L19" s="10"/>
      <c r="M19" s="8"/>
    </row>
    <row r="20">
      <c r="A20" s="8" t="s">
        <v>2011</v>
      </c>
      <c r="B20" s="8" t="s">
        <v>53</v>
      </c>
      <c r="C20" s="39" t="s">
        <v>2012</v>
      </c>
      <c r="D20" s="39" t="s">
        <v>2013</v>
      </c>
      <c r="E20" s="39" t="s">
        <v>2015</v>
      </c>
      <c r="F20" s="39" t="s">
        <v>2016</v>
      </c>
      <c r="G20" s="39" t="s">
        <v>2018</v>
      </c>
      <c r="H20" s="10"/>
      <c r="I20" s="38" t="s">
        <v>1531</v>
      </c>
      <c r="J20" s="8" t="s">
        <v>92</v>
      </c>
      <c r="K20" s="8" t="s">
        <v>92</v>
      </c>
      <c r="L20" s="10"/>
      <c r="M20" s="8"/>
    </row>
    <row r="21">
      <c r="A21" s="8" t="s">
        <v>2023</v>
      </c>
      <c r="B21" s="8" t="s">
        <v>53</v>
      </c>
      <c r="C21" s="39" t="s">
        <v>2024</v>
      </c>
      <c r="D21" s="39" t="s">
        <v>2025</v>
      </c>
      <c r="E21" s="39" t="s">
        <v>1922</v>
      </c>
      <c r="F21" s="39" t="s">
        <v>2026</v>
      </c>
      <c r="G21" s="39" t="s">
        <v>2027</v>
      </c>
      <c r="H21" s="10"/>
      <c r="I21" s="38" t="s">
        <v>1531</v>
      </c>
      <c r="J21" s="8" t="s">
        <v>92</v>
      </c>
      <c r="K21" s="8" t="s">
        <v>92</v>
      </c>
      <c r="L21" s="10"/>
      <c r="M21" s="8"/>
    </row>
    <row r="22">
      <c r="A22" s="8" t="s">
        <v>2028</v>
      </c>
      <c r="B22" s="8" t="s">
        <v>53</v>
      </c>
      <c r="C22" s="39" t="s">
        <v>2029</v>
      </c>
      <c r="D22" s="39" t="s">
        <v>2031</v>
      </c>
      <c r="E22" s="39" t="s">
        <v>2033</v>
      </c>
      <c r="F22" s="39" t="s">
        <v>2035</v>
      </c>
      <c r="G22" s="39" t="s">
        <v>2037</v>
      </c>
      <c r="H22" s="10"/>
      <c r="I22" s="38" t="s">
        <v>1531</v>
      </c>
      <c r="J22" s="8" t="s">
        <v>105</v>
      </c>
      <c r="K22" s="8" t="s">
        <v>105</v>
      </c>
      <c r="L22" s="10"/>
      <c r="M22" s="8"/>
    </row>
    <row r="23">
      <c r="A23" s="8" t="s">
        <v>2040</v>
      </c>
      <c r="B23" s="8" t="s">
        <v>53</v>
      </c>
      <c r="C23" s="39" t="s">
        <v>2041</v>
      </c>
      <c r="D23" s="39" t="s">
        <v>2042</v>
      </c>
      <c r="E23" s="39" t="s">
        <v>1937</v>
      </c>
      <c r="F23" s="39" t="s">
        <v>2016</v>
      </c>
      <c r="G23" s="39" t="s">
        <v>2043</v>
      </c>
      <c r="H23" s="10"/>
      <c r="I23" s="38" t="s">
        <v>1531</v>
      </c>
      <c r="J23" s="8" t="s">
        <v>92</v>
      </c>
      <c r="K23" s="8" t="s">
        <v>92</v>
      </c>
      <c r="L23" s="10"/>
      <c r="M23" s="8"/>
    </row>
    <row r="24">
      <c r="A24" s="8" t="s">
        <v>2049</v>
      </c>
      <c r="B24" s="8" t="s">
        <v>53</v>
      </c>
      <c r="C24" s="39" t="s">
        <v>2050</v>
      </c>
      <c r="D24" s="39" t="s">
        <v>2051</v>
      </c>
      <c r="E24" s="39" t="s">
        <v>2052</v>
      </c>
      <c r="F24" s="39" t="s">
        <v>2054</v>
      </c>
      <c r="G24" s="39" t="s">
        <v>2056</v>
      </c>
      <c r="H24" s="10"/>
      <c r="I24" s="38" t="s">
        <v>1531</v>
      </c>
      <c r="J24" s="8" t="s">
        <v>427</v>
      </c>
      <c r="K24" s="8" t="s">
        <v>92</v>
      </c>
      <c r="L24" s="10"/>
      <c r="M24" s="8"/>
    </row>
    <row r="25">
      <c r="A25" s="83"/>
      <c r="B25" s="84" t="s">
        <v>2060</v>
      </c>
      <c r="C25" s="23"/>
      <c r="D25" s="23"/>
      <c r="E25" s="23"/>
      <c r="F25" s="23"/>
      <c r="G25" s="23"/>
      <c r="H25" s="24"/>
      <c r="I25" s="49"/>
      <c r="J25" s="23"/>
      <c r="K25" s="23"/>
      <c r="L25" s="23"/>
      <c r="M25" s="24"/>
    </row>
    <row r="26">
      <c r="A26" s="8" t="s">
        <v>2063</v>
      </c>
      <c r="B26" s="8" t="s">
        <v>53</v>
      </c>
      <c r="C26" s="39" t="s">
        <v>2066</v>
      </c>
      <c r="D26" s="39" t="s">
        <v>2067</v>
      </c>
      <c r="E26" s="39" t="s">
        <v>2069</v>
      </c>
      <c r="F26" s="39" t="s">
        <v>2070</v>
      </c>
      <c r="G26" s="39" t="s">
        <v>2071</v>
      </c>
      <c r="H26" s="10"/>
      <c r="I26" s="38" t="s">
        <v>1531</v>
      </c>
      <c r="J26" s="8" t="s">
        <v>427</v>
      </c>
      <c r="K26" s="8" t="s">
        <v>92</v>
      </c>
      <c r="L26" s="10"/>
      <c r="M26" s="8"/>
    </row>
    <row r="27">
      <c r="A27" s="8" t="s">
        <v>2076</v>
      </c>
      <c r="B27" s="8" t="s">
        <v>53</v>
      </c>
      <c r="C27" s="39" t="s">
        <v>2078</v>
      </c>
      <c r="D27" s="39" t="s">
        <v>1226</v>
      </c>
      <c r="E27" s="39" t="s">
        <v>2079</v>
      </c>
      <c r="F27" s="39" t="s">
        <v>2080</v>
      </c>
      <c r="G27" s="39" t="s">
        <v>2081</v>
      </c>
      <c r="H27" s="10"/>
      <c r="I27" s="38" t="s">
        <v>1531</v>
      </c>
      <c r="J27" s="8" t="s">
        <v>427</v>
      </c>
      <c r="K27" s="8" t="s">
        <v>92</v>
      </c>
      <c r="L27" s="10"/>
      <c r="M27" s="8"/>
    </row>
    <row r="28">
      <c r="A28" s="8" t="s">
        <v>2084</v>
      </c>
      <c r="B28" s="8" t="s">
        <v>53</v>
      </c>
      <c r="C28" s="39" t="s">
        <v>2086</v>
      </c>
      <c r="D28" s="39" t="s">
        <v>2087</v>
      </c>
      <c r="E28" s="39" t="s">
        <v>1937</v>
      </c>
      <c r="F28" s="39" t="s">
        <v>2088</v>
      </c>
      <c r="G28" s="39" t="s">
        <v>2090</v>
      </c>
      <c r="H28" s="10"/>
      <c r="I28" s="38" t="s">
        <v>1531</v>
      </c>
      <c r="J28" s="8" t="s">
        <v>92</v>
      </c>
      <c r="K28" s="8" t="s">
        <v>92</v>
      </c>
      <c r="L28" s="10"/>
      <c r="M28" s="8"/>
    </row>
    <row r="29">
      <c r="A29" s="8" t="s">
        <v>2092</v>
      </c>
      <c r="B29" s="8" t="s">
        <v>53</v>
      </c>
      <c r="C29" s="39" t="s">
        <v>2093</v>
      </c>
      <c r="D29" s="39" t="s">
        <v>2094</v>
      </c>
      <c r="E29" s="39" t="s">
        <v>1937</v>
      </c>
      <c r="F29" s="39" t="s">
        <v>2095</v>
      </c>
      <c r="G29" s="39" t="s">
        <v>2096</v>
      </c>
      <c r="H29" s="10"/>
      <c r="I29" s="38" t="s">
        <v>1531</v>
      </c>
      <c r="J29" s="8" t="s">
        <v>105</v>
      </c>
      <c r="K29" s="8" t="s">
        <v>105</v>
      </c>
      <c r="L29" s="10"/>
      <c r="M29" s="8"/>
    </row>
    <row r="30">
      <c r="A30" s="8" t="s">
        <v>2103</v>
      </c>
      <c r="B30" s="8" t="s">
        <v>53</v>
      </c>
      <c r="C30" s="39" t="s">
        <v>2105</v>
      </c>
      <c r="D30" s="39" t="s">
        <v>2106</v>
      </c>
      <c r="E30" s="39" t="s">
        <v>2107</v>
      </c>
      <c r="F30" s="39" t="s">
        <v>1529</v>
      </c>
      <c r="G30" s="39" t="s">
        <v>2108</v>
      </c>
      <c r="H30" s="10"/>
      <c r="I30" s="38" t="s">
        <v>1531</v>
      </c>
      <c r="J30" s="8" t="s">
        <v>427</v>
      </c>
      <c r="K30" s="8" t="s">
        <v>92</v>
      </c>
      <c r="L30" s="10"/>
      <c r="M30" s="8"/>
    </row>
    <row r="31">
      <c r="A31" s="83"/>
      <c r="B31" s="84" t="s">
        <v>2111</v>
      </c>
      <c r="C31" s="23"/>
      <c r="D31" s="23"/>
      <c r="E31" s="23"/>
      <c r="F31" s="23"/>
      <c r="G31" s="23"/>
      <c r="H31" s="24"/>
      <c r="I31" s="49"/>
      <c r="J31" s="23"/>
      <c r="K31" s="23"/>
      <c r="L31" s="23"/>
      <c r="M31" s="24"/>
    </row>
    <row r="32">
      <c r="A32" s="8" t="s">
        <v>2114</v>
      </c>
      <c r="B32" s="8" t="s">
        <v>53</v>
      </c>
      <c r="C32" s="39" t="s">
        <v>2115</v>
      </c>
      <c r="D32" s="9" t="s">
        <v>127</v>
      </c>
      <c r="E32" s="39" t="s">
        <v>127</v>
      </c>
      <c r="F32" s="9">
        <v>1.2345678E7</v>
      </c>
      <c r="G32" s="39" t="s">
        <v>2118</v>
      </c>
      <c r="H32" s="10"/>
      <c r="I32" s="38" t="s">
        <v>1531</v>
      </c>
      <c r="J32" s="8" t="s">
        <v>92</v>
      </c>
      <c r="K32" s="8" t="s">
        <v>92</v>
      </c>
      <c r="L32" s="10"/>
      <c r="M32" s="8"/>
    </row>
    <row r="33">
      <c r="A33" s="8" t="s">
        <v>2122</v>
      </c>
      <c r="B33" s="8" t="s">
        <v>53</v>
      </c>
      <c r="C33" s="39" t="s">
        <v>2124</v>
      </c>
      <c r="D33" s="9" t="s">
        <v>127</v>
      </c>
      <c r="E33" s="39" t="s">
        <v>127</v>
      </c>
      <c r="F33" s="39" t="s">
        <v>2125</v>
      </c>
      <c r="G33" s="39" t="s">
        <v>2118</v>
      </c>
      <c r="H33" s="10"/>
      <c r="I33" s="38" t="s">
        <v>1531</v>
      </c>
      <c r="J33" s="8" t="s">
        <v>92</v>
      </c>
      <c r="K33" s="8" t="s">
        <v>92</v>
      </c>
      <c r="L33" s="10"/>
      <c r="M33" s="8"/>
    </row>
    <row r="34">
      <c r="A34" s="8" t="s">
        <v>2126</v>
      </c>
      <c r="B34" s="8" t="s">
        <v>53</v>
      </c>
      <c r="C34" s="39" t="s">
        <v>2127</v>
      </c>
      <c r="D34" s="9" t="s">
        <v>127</v>
      </c>
      <c r="E34" s="39" t="s">
        <v>127</v>
      </c>
      <c r="F34" s="39" t="s">
        <v>2129</v>
      </c>
      <c r="G34" s="39" t="s">
        <v>1918</v>
      </c>
      <c r="H34" s="10"/>
      <c r="I34" s="38" t="s">
        <v>1531</v>
      </c>
      <c r="J34" s="8" t="s">
        <v>105</v>
      </c>
      <c r="K34" s="8" t="s">
        <v>105</v>
      </c>
      <c r="L34" s="10"/>
      <c r="M34" s="8"/>
    </row>
    <row r="35">
      <c r="A35" s="8" t="s">
        <v>2130</v>
      </c>
      <c r="B35" s="8" t="s">
        <v>53</v>
      </c>
      <c r="C35" s="39" t="s">
        <v>2131</v>
      </c>
      <c r="D35" s="9" t="s">
        <v>127</v>
      </c>
      <c r="E35" s="39" t="s">
        <v>127</v>
      </c>
      <c r="F35" s="39" t="s">
        <v>2133</v>
      </c>
      <c r="G35" s="39" t="s">
        <v>1918</v>
      </c>
      <c r="H35" s="10"/>
      <c r="I35" s="38" t="s">
        <v>1531</v>
      </c>
      <c r="J35" s="8" t="s">
        <v>105</v>
      </c>
      <c r="K35" s="8" t="s">
        <v>105</v>
      </c>
      <c r="L35" s="10"/>
      <c r="M35" s="8"/>
    </row>
    <row r="36">
      <c r="A36" s="8" t="s">
        <v>2137</v>
      </c>
      <c r="B36" s="8" t="s">
        <v>53</v>
      </c>
      <c r="C36" s="39" t="s">
        <v>2139</v>
      </c>
      <c r="D36" s="9" t="s">
        <v>127</v>
      </c>
      <c r="E36" s="39" t="s">
        <v>127</v>
      </c>
      <c r="F36" s="39" t="s">
        <v>2140</v>
      </c>
      <c r="G36" s="39" t="s">
        <v>1918</v>
      </c>
      <c r="H36" s="10"/>
      <c r="I36" s="38" t="s">
        <v>1531</v>
      </c>
      <c r="J36" s="8" t="s">
        <v>105</v>
      </c>
      <c r="K36" s="8" t="s">
        <v>105</v>
      </c>
      <c r="L36" s="10"/>
      <c r="M36" s="8"/>
    </row>
    <row r="37">
      <c r="A37" s="8" t="s">
        <v>2144</v>
      </c>
      <c r="B37" s="8" t="s">
        <v>53</v>
      </c>
      <c r="C37" s="39" t="s">
        <v>2145</v>
      </c>
      <c r="D37" s="9" t="s">
        <v>127</v>
      </c>
      <c r="E37" s="39" t="s">
        <v>127</v>
      </c>
      <c r="F37" s="39" t="s">
        <v>2146</v>
      </c>
      <c r="G37" s="39" t="s">
        <v>2108</v>
      </c>
      <c r="H37" s="10"/>
      <c r="I37" s="38" t="s">
        <v>1531</v>
      </c>
      <c r="J37" s="8" t="s">
        <v>92</v>
      </c>
      <c r="K37" s="8" t="s">
        <v>92</v>
      </c>
      <c r="L37" s="10"/>
      <c r="M37" s="8"/>
    </row>
    <row r="38">
      <c r="A38" s="83"/>
      <c r="B38" s="84" t="s">
        <v>2149</v>
      </c>
      <c r="C38" s="23"/>
      <c r="D38" s="23"/>
      <c r="E38" s="23"/>
      <c r="F38" s="23"/>
      <c r="G38" s="23"/>
      <c r="H38" s="24"/>
      <c r="I38" s="49"/>
      <c r="J38" s="23"/>
      <c r="K38" s="23"/>
      <c r="L38" s="23"/>
      <c r="M38" s="24"/>
    </row>
    <row r="39">
      <c r="A39" s="8" t="s">
        <v>2151</v>
      </c>
      <c r="B39" s="8" t="s">
        <v>53</v>
      </c>
      <c r="C39" s="39" t="s">
        <v>2153</v>
      </c>
      <c r="D39" s="9" t="s">
        <v>127</v>
      </c>
      <c r="E39" s="39" t="s">
        <v>127</v>
      </c>
      <c r="F39" s="10"/>
      <c r="G39" s="39" t="s">
        <v>1918</v>
      </c>
      <c r="H39" s="10"/>
      <c r="I39" s="38" t="s">
        <v>1531</v>
      </c>
      <c r="J39" s="8" t="s">
        <v>92</v>
      </c>
      <c r="K39" s="8" t="s">
        <v>92</v>
      </c>
      <c r="L39" s="10"/>
      <c r="M39" s="8"/>
    </row>
    <row r="40">
      <c r="A40" s="8" t="s">
        <v>2157</v>
      </c>
      <c r="B40" s="8" t="s">
        <v>53</v>
      </c>
      <c r="C40" s="39" t="s">
        <v>2158</v>
      </c>
      <c r="D40" s="9" t="s">
        <v>127</v>
      </c>
      <c r="E40" s="39" t="s">
        <v>127</v>
      </c>
      <c r="F40" s="10"/>
      <c r="G40" s="39" t="s">
        <v>1918</v>
      </c>
      <c r="H40" s="10"/>
      <c r="I40" s="38" t="s">
        <v>1531</v>
      </c>
      <c r="J40" s="8" t="s">
        <v>105</v>
      </c>
      <c r="K40" s="8" t="s">
        <v>105</v>
      </c>
      <c r="L40" s="10"/>
      <c r="M40" s="8"/>
    </row>
    <row r="41">
      <c r="A41" s="8" t="s">
        <v>2161</v>
      </c>
      <c r="B41" s="8" t="s">
        <v>53</v>
      </c>
      <c r="C41" s="39" t="s">
        <v>2162</v>
      </c>
      <c r="D41" s="9" t="s">
        <v>127</v>
      </c>
      <c r="E41" s="39" t="s">
        <v>127</v>
      </c>
      <c r="F41" s="10"/>
      <c r="G41" s="39" t="s">
        <v>2108</v>
      </c>
      <c r="H41" s="10"/>
      <c r="I41" s="38" t="s">
        <v>1531</v>
      </c>
      <c r="J41" s="8" t="s">
        <v>92</v>
      </c>
      <c r="K41" s="8" t="s">
        <v>92</v>
      </c>
      <c r="L41" s="10"/>
      <c r="M41" s="8"/>
    </row>
    <row r="42">
      <c r="A42" s="8" t="s">
        <v>2165</v>
      </c>
      <c r="B42" s="8" t="s">
        <v>53</v>
      </c>
      <c r="C42" s="39" t="s">
        <v>2166</v>
      </c>
      <c r="D42" s="9" t="s">
        <v>127</v>
      </c>
      <c r="E42" s="39" t="s">
        <v>127</v>
      </c>
      <c r="F42" s="10"/>
      <c r="G42" s="39" t="s">
        <v>2168</v>
      </c>
      <c r="H42" s="10"/>
      <c r="I42" s="38" t="s">
        <v>1531</v>
      </c>
      <c r="J42" s="8" t="s">
        <v>105</v>
      </c>
      <c r="K42" s="8" t="s">
        <v>105</v>
      </c>
      <c r="L42" s="10"/>
      <c r="M42" s="8"/>
    </row>
    <row r="43">
      <c r="A43" s="8" t="s">
        <v>2172</v>
      </c>
      <c r="B43" s="8" t="s">
        <v>53</v>
      </c>
      <c r="C43" s="39" t="s">
        <v>2174</v>
      </c>
      <c r="D43" s="9" t="s">
        <v>127</v>
      </c>
      <c r="E43" s="39" t="s">
        <v>127</v>
      </c>
      <c r="F43" s="10"/>
      <c r="G43" s="39" t="s">
        <v>2175</v>
      </c>
      <c r="H43" s="10"/>
      <c r="I43" s="38" t="s">
        <v>1531</v>
      </c>
      <c r="J43" s="8" t="s">
        <v>427</v>
      </c>
      <c r="K43" s="8" t="s">
        <v>92</v>
      </c>
      <c r="L43" s="10"/>
      <c r="M43" s="8"/>
    </row>
    <row r="44">
      <c r="A44" s="8" t="s">
        <v>2179</v>
      </c>
      <c r="B44" s="8" t="s">
        <v>53</v>
      </c>
      <c r="C44" s="39" t="s">
        <v>2180</v>
      </c>
      <c r="D44" s="9" t="s">
        <v>127</v>
      </c>
      <c r="E44" s="39" t="s">
        <v>127</v>
      </c>
      <c r="F44" s="10"/>
      <c r="G44" s="39" t="s">
        <v>2182</v>
      </c>
      <c r="H44" s="10"/>
      <c r="I44" s="38" t="s">
        <v>1531</v>
      </c>
      <c r="J44" s="8" t="s">
        <v>427</v>
      </c>
      <c r="K44" s="8" t="s">
        <v>92</v>
      </c>
      <c r="L44" s="10"/>
      <c r="M44" s="8"/>
    </row>
    <row r="45">
      <c r="A45" s="8" t="s">
        <v>2187</v>
      </c>
      <c r="B45" s="8" t="s">
        <v>53</v>
      </c>
      <c r="C45" s="39" t="s">
        <v>2193</v>
      </c>
      <c r="D45" s="9" t="s">
        <v>127</v>
      </c>
      <c r="E45" s="39" t="s">
        <v>127</v>
      </c>
      <c r="F45" s="10"/>
      <c r="G45" s="39" t="s">
        <v>2108</v>
      </c>
      <c r="H45" s="10"/>
      <c r="I45" s="38" t="s">
        <v>1531</v>
      </c>
      <c r="J45" s="8" t="s">
        <v>92</v>
      </c>
      <c r="K45" s="8" t="s">
        <v>105</v>
      </c>
      <c r="L45" s="10"/>
      <c r="M45" s="8"/>
    </row>
    <row r="46">
      <c r="A46" s="8" t="s">
        <v>2196</v>
      </c>
      <c r="B46" s="8" t="s">
        <v>53</v>
      </c>
      <c r="C46" s="39" t="s">
        <v>2197</v>
      </c>
      <c r="D46" s="9" t="s">
        <v>127</v>
      </c>
      <c r="E46" s="39" t="s">
        <v>127</v>
      </c>
      <c r="F46" s="10"/>
      <c r="G46" s="39" t="s">
        <v>2199</v>
      </c>
      <c r="H46" s="10"/>
      <c r="I46" s="38" t="s">
        <v>1531</v>
      </c>
      <c r="J46" s="8" t="s">
        <v>92</v>
      </c>
      <c r="K46" s="8" t="s">
        <v>105</v>
      </c>
      <c r="L46" s="10"/>
      <c r="M46" s="8"/>
    </row>
    <row r="47">
      <c r="A47" s="8" t="s">
        <v>2202</v>
      </c>
      <c r="B47" s="8" t="s">
        <v>53</v>
      </c>
      <c r="C47" s="39" t="s">
        <v>2203</v>
      </c>
      <c r="D47" s="9" t="s">
        <v>127</v>
      </c>
      <c r="E47" s="39" t="s">
        <v>127</v>
      </c>
      <c r="F47" s="10"/>
      <c r="G47" s="39" t="s">
        <v>1007</v>
      </c>
      <c r="H47" s="10"/>
      <c r="I47" s="38" t="s">
        <v>1531</v>
      </c>
      <c r="J47" s="8" t="s">
        <v>92</v>
      </c>
      <c r="K47" s="8" t="s">
        <v>92</v>
      </c>
      <c r="L47" s="10"/>
      <c r="M47" s="8"/>
    </row>
    <row r="48">
      <c r="A48" s="83"/>
      <c r="B48" s="84" t="s">
        <v>2208</v>
      </c>
      <c r="C48" s="23"/>
      <c r="D48" s="23"/>
      <c r="E48" s="23"/>
      <c r="F48" s="23"/>
      <c r="G48" s="23"/>
      <c r="H48" s="24"/>
      <c r="I48" s="49"/>
      <c r="J48" s="23"/>
      <c r="K48" s="23"/>
      <c r="L48" s="23"/>
      <c r="M48" s="24"/>
    </row>
    <row r="49">
      <c r="A49" s="8" t="s">
        <v>2213</v>
      </c>
      <c r="B49" s="8" t="s">
        <v>53</v>
      </c>
      <c r="C49" s="39" t="s">
        <v>2214</v>
      </c>
      <c r="D49" s="9" t="s">
        <v>127</v>
      </c>
      <c r="E49" s="39" t="s">
        <v>127</v>
      </c>
      <c r="F49" s="10"/>
      <c r="G49" s="39" t="s">
        <v>2215</v>
      </c>
      <c r="H49" s="10"/>
      <c r="I49" s="38" t="s">
        <v>1531</v>
      </c>
      <c r="J49" s="8" t="s">
        <v>427</v>
      </c>
      <c r="K49" s="8" t="s">
        <v>92</v>
      </c>
      <c r="L49" s="10"/>
      <c r="M49" s="8"/>
    </row>
    <row r="50">
      <c r="A50" s="8" t="s">
        <v>2220</v>
      </c>
      <c r="B50" s="8" t="s">
        <v>53</v>
      </c>
      <c r="C50" s="39" t="s">
        <v>2221</v>
      </c>
      <c r="D50" s="9" t="s">
        <v>127</v>
      </c>
      <c r="E50" s="39" t="s">
        <v>127</v>
      </c>
      <c r="F50" s="10"/>
      <c r="G50" s="39" t="s">
        <v>2222</v>
      </c>
      <c r="H50" s="10"/>
      <c r="I50" s="38" t="s">
        <v>1531</v>
      </c>
      <c r="J50" s="8" t="s">
        <v>427</v>
      </c>
      <c r="K50" s="8" t="s">
        <v>92</v>
      </c>
      <c r="L50" s="10"/>
      <c r="M50" s="8"/>
    </row>
    <row r="51">
      <c r="A51" s="8" t="s">
        <v>2227</v>
      </c>
      <c r="B51" s="8" t="s">
        <v>53</v>
      </c>
      <c r="C51" s="39" t="s">
        <v>2229</v>
      </c>
      <c r="D51" s="9" t="s">
        <v>127</v>
      </c>
      <c r="E51" s="39" t="s">
        <v>127</v>
      </c>
      <c r="F51" s="10"/>
      <c r="G51" s="39" t="s">
        <v>2230</v>
      </c>
      <c r="H51" s="10"/>
      <c r="I51" s="38" t="s">
        <v>1531</v>
      </c>
      <c r="J51" s="8" t="s">
        <v>92</v>
      </c>
      <c r="K51" s="8" t="s">
        <v>92</v>
      </c>
      <c r="L51" s="10"/>
      <c r="M51" s="8"/>
    </row>
    <row r="52">
      <c r="A52" s="83"/>
      <c r="B52" s="85"/>
      <c r="C52" s="23"/>
      <c r="D52" s="23"/>
      <c r="E52" s="23"/>
      <c r="F52" s="23"/>
      <c r="G52" s="23"/>
      <c r="H52" s="24"/>
      <c r="I52" s="49"/>
      <c r="J52" s="23"/>
      <c r="K52" s="23"/>
      <c r="L52" s="23"/>
      <c r="M52" s="24"/>
    </row>
  </sheetData>
  <mergeCells count="14">
    <mergeCell ref="B31:H31"/>
    <mergeCell ref="B38:H38"/>
    <mergeCell ref="I38:M38"/>
    <mergeCell ref="B48:H48"/>
    <mergeCell ref="I48:M48"/>
    <mergeCell ref="B52:H52"/>
    <mergeCell ref="I52:M52"/>
    <mergeCell ref="B8:H8"/>
    <mergeCell ref="I8:M8"/>
    <mergeCell ref="B18:H18"/>
    <mergeCell ref="I18:M18"/>
    <mergeCell ref="B25:H25"/>
    <mergeCell ref="I25:M25"/>
    <mergeCell ref="I31:M31"/>
  </mergeCells>
  <dataValidations>
    <dataValidation type="list" allowBlank="1" showErrorMessage="1" sqref="J3:K7 J9:K17 J19:K24 J26:K30 J32:K37 J39:K47 J49:K51">
      <formula1>"High,Medium,Low,N/A,Critical"</formula1>
    </dataValidation>
    <dataValidation type="list" allowBlank="1" showErrorMessage="1" sqref="I3:I52">
      <formula1>"Pass,Fail,Not Tested,Fixed"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4.5"/>
    <col customWidth="1" min="3" max="3" width="28.25"/>
    <col customWidth="1" min="4" max="4" width="28.88"/>
    <col customWidth="1" min="5" max="5" width="30.0"/>
    <col customWidth="1" min="6" max="6" width="28.63"/>
    <col customWidth="1" min="7" max="7" width="28.5"/>
    <col customWidth="1" min="8" max="8" width="28.88"/>
    <col customWidth="1" min="9" max="9" width="19.5"/>
    <col customWidth="1" min="10" max="10" width="16.38"/>
    <col customWidth="1" min="11" max="11" width="16.63"/>
    <col customWidth="1" min="12" max="12" width="23.75"/>
    <col customWidth="1" min="13" max="13" width="22.5"/>
  </cols>
  <sheetData>
    <row r="1">
      <c r="A1" s="2" t="s">
        <v>0</v>
      </c>
    </row>
    <row r="2" ht="36.75" customHeight="1">
      <c r="A2" s="4" t="s">
        <v>55</v>
      </c>
      <c r="B2" s="4" t="s">
        <v>57</v>
      </c>
      <c r="C2" s="4" t="s">
        <v>58</v>
      </c>
      <c r="D2" s="4" t="s">
        <v>71</v>
      </c>
      <c r="E2" s="4" t="s">
        <v>72</v>
      </c>
      <c r="F2" s="4" t="s">
        <v>69</v>
      </c>
      <c r="G2" s="4" t="s">
        <v>1459</v>
      </c>
      <c r="H2" s="4" t="s">
        <v>74</v>
      </c>
      <c r="I2" s="4" t="s">
        <v>75</v>
      </c>
      <c r="J2" s="4" t="s">
        <v>76</v>
      </c>
      <c r="K2" s="4" t="s">
        <v>4</v>
      </c>
      <c r="L2" s="4" t="s">
        <v>77</v>
      </c>
      <c r="M2" s="4" t="s">
        <v>78</v>
      </c>
    </row>
    <row r="3">
      <c r="A3" s="8" t="s">
        <v>2271</v>
      </c>
      <c r="B3" s="8" t="s">
        <v>62</v>
      </c>
      <c r="C3" s="39" t="s">
        <v>2272</v>
      </c>
      <c r="D3" s="39" t="s">
        <v>2273</v>
      </c>
      <c r="E3" s="39" t="s">
        <v>2274</v>
      </c>
      <c r="F3" s="39" t="s">
        <v>2275</v>
      </c>
      <c r="G3" s="39" t="s">
        <v>2276</v>
      </c>
      <c r="H3" s="39"/>
      <c r="I3" s="8" t="s">
        <v>1531</v>
      </c>
      <c r="J3" s="8" t="s">
        <v>92</v>
      </c>
      <c r="K3" s="8" t="s">
        <v>92</v>
      </c>
      <c r="L3" s="39"/>
      <c r="M3" s="39" t="s">
        <v>2279</v>
      </c>
    </row>
    <row r="4">
      <c r="A4" s="8" t="s">
        <v>2281</v>
      </c>
      <c r="B4" s="8" t="s">
        <v>62</v>
      </c>
      <c r="C4" s="39" t="s">
        <v>2282</v>
      </c>
      <c r="D4" s="39" t="s">
        <v>2284</v>
      </c>
      <c r="E4" s="39" t="s">
        <v>2285</v>
      </c>
      <c r="F4" s="39" t="s">
        <v>2286</v>
      </c>
      <c r="G4" s="39" t="s">
        <v>2287</v>
      </c>
      <c r="H4" s="39"/>
      <c r="I4" s="8" t="s">
        <v>1531</v>
      </c>
      <c r="J4" s="8" t="s">
        <v>105</v>
      </c>
      <c r="K4" s="8" t="s">
        <v>105</v>
      </c>
      <c r="L4" s="39"/>
      <c r="M4" s="39" t="s">
        <v>2289</v>
      </c>
    </row>
    <row r="5">
      <c r="A5" s="8" t="s">
        <v>2290</v>
      </c>
      <c r="B5" s="8" t="s">
        <v>62</v>
      </c>
      <c r="C5" s="39" t="s">
        <v>2291</v>
      </c>
      <c r="D5" s="39" t="s">
        <v>2292</v>
      </c>
      <c r="E5" s="39" t="s">
        <v>2293</v>
      </c>
      <c r="F5" s="39" t="s">
        <v>1938</v>
      </c>
      <c r="G5" s="39" t="s">
        <v>1393</v>
      </c>
      <c r="H5" s="39"/>
      <c r="I5" s="8" t="s">
        <v>1531</v>
      </c>
      <c r="J5" s="8" t="s">
        <v>427</v>
      </c>
      <c r="K5" s="8" t="s">
        <v>92</v>
      </c>
      <c r="L5" s="39"/>
      <c r="M5" s="39" t="s">
        <v>2297</v>
      </c>
    </row>
    <row r="6">
      <c r="A6" s="8" t="s">
        <v>2298</v>
      </c>
      <c r="B6" s="8" t="s">
        <v>62</v>
      </c>
      <c r="C6" s="39" t="s">
        <v>2300</v>
      </c>
      <c r="D6" s="39" t="s">
        <v>2302</v>
      </c>
      <c r="E6" s="39" t="s">
        <v>2303</v>
      </c>
      <c r="F6" s="39" t="s">
        <v>2305</v>
      </c>
      <c r="G6" s="39" t="s">
        <v>2307</v>
      </c>
      <c r="H6" s="39"/>
      <c r="I6" s="8" t="s">
        <v>1531</v>
      </c>
      <c r="J6" s="8" t="s">
        <v>92</v>
      </c>
      <c r="K6" s="8" t="s">
        <v>92</v>
      </c>
      <c r="L6" s="39"/>
      <c r="M6" s="39" t="s">
        <v>2309</v>
      </c>
    </row>
    <row r="7">
      <c r="A7" s="83"/>
      <c r="B7" s="84" t="s">
        <v>2311</v>
      </c>
      <c r="C7" s="23"/>
      <c r="D7" s="23"/>
      <c r="E7" s="23"/>
      <c r="F7" s="23"/>
      <c r="G7" s="23"/>
      <c r="H7" s="24"/>
      <c r="I7" s="49"/>
      <c r="J7" s="23"/>
      <c r="K7" s="23"/>
      <c r="L7" s="23"/>
      <c r="M7" s="24"/>
    </row>
    <row r="8">
      <c r="A8" s="8" t="s">
        <v>2313</v>
      </c>
      <c r="B8" s="8" t="s">
        <v>62</v>
      </c>
      <c r="C8" s="39" t="s">
        <v>2315</v>
      </c>
      <c r="D8" s="9"/>
      <c r="E8" s="39" t="s">
        <v>2318</v>
      </c>
      <c r="F8" s="10"/>
      <c r="G8" s="39" t="s">
        <v>2322</v>
      </c>
      <c r="H8" s="10"/>
      <c r="I8" s="38" t="s">
        <v>1531</v>
      </c>
      <c r="J8" s="8" t="s">
        <v>427</v>
      </c>
      <c r="K8" s="8" t="s">
        <v>92</v>
      </c>
      <c r="L8" s="10"/>
      <c r="M8" s="8"/>
    </row>
    <row r="9">
      <c r="A9" s="8" t="s">
        <v>2327</v>
      </c>
      <c r="B9" s="8" t="s">
        <v>62</v>
      </c>
      <c r="C9" s="39" t="s">
        <v>2331</v>
      </c>
      <c r="D9" s="9"/>
      <c r="E9" s="39" t="s">
        <v>2332</v>
      </c>
      <c r="F9" s="10"/>
      <c r="G9" s="39" t="s">
        <v>2333</v>
      </c>
      <c r="H9" s="10"/>
      <c r="I9" s="38" t="s">
        <v>1531</v>
      </c>
      <c r="J9" s="8" t="s">
        <v>427</v>
      </c>
      <c r="K9" s="8" t="s">
        <v>92</v>
      </c>
      <c r="L9" s="10"/>
      <c r="M9" s="8"/>
    </row>
    <row r="10">
      <c r="A10" s="8" t="s">
        <v>2340</v>
      </c>
      <c r="B10" s="8" t="s">
        <v>62</v>
      </c>
      <c r="C10" s="39" t="s">
        <v>2342</v>
      </c>
      <c r="D10" s="9"/>
      <c r="E10" s="39" t="s">
        <v>2343</v>
      </c>
      <c r="F10" s="10"/>
      <c r="G10" s="39" t="s">
        <v>2344</v>
      </c>
      <c r="H10" s="10"/>
      <c r="I10" s="38" t="s">
        <v>1531</v>
      </c>
      <c r="J10" s="8" t="s">
        <v>427</v>
      </c>
      <c r="K10" s="8" t="s">
        <v>92</v>
      </c>
      <c r="L10" s="10"/>
      <c r="M10" s="8"/>
    </row>
    <row r="11">
      <c r="A11" s="8" t="s">
        <v>2345</v>
      </c>
      <c r="B11" s="8" t="s">
        <v>62</v>
      </c>
      <c r="C11" s="39" t="s">
        <v>2346</v>
      </c>
      <c r="D11" s="9"/>
      <c r="E11" s="39" t="s">
        <v>2349</v>
      </c>
      <c r="F11" s="10"/>
      <c r="G11" s="39" t="s">
        <v>2353</v>
      </c>
      <c r="H11" s="10"/>
      <c r="I11" s="38" t="s">
        <v>1531</v>
      </c>
      <c r="J11" s="8" t="s">
        <v>92</v>
      </c>
      <c r="K11" s="8" t="s">
        <v>92</v>
      </c>
      <c r="L11" s="10"/>
      <c r="M11" s="8"/>
    </row>
    <row r="12">
      <c r="A12" s="8" t="s">
        <v>2358</v>
      </c>
      <c r="B12" s="8" t="s">
        <v>62</v>
      </c>
      <c r="C12" s="39" t="s">
        <v>2361</v>
      </c>
      <c r="D12" s="9"/>
      <c r="E12" s="39" t="s">
        <v>2364</v>
      </c>
      <c r="F12" s="10"/>
      <c r="G12" s="39" t="s">
        <v>2366</v>
      </c>
      <c r="H12" s="10"/>
      <c r="I12" s="38" t="s">
        <v>1531</v>
      </c>
      <c r="J12" s="8" t="s">
        <v>427</v>
      </c>
      <c r="K12" s="8" t="s">
        <v>92</v>
      </c>
      <c r="L12" s="10"/>
      <c r="M12" s="8"/>
    </row>
    <row r="13">
      <c r="A13" s="8" t="s">
        <v>2369</v>
      </c>
      <c r="B13" s="8" t="s">
        <v>62</v>
      </c>
      <c r="C13" s="39" t="s">
        <v>2372</v>
      </c>
      <c r="D13" s="9"/>
      <c r="E13" s="39" t="s">
        <v>2374</v>
      </c>
      <c r="F13" s="10"/>
      <c r="G13" s="39" t="s">
        <v>2377</v>
      </c>
      <c r="H13" s="10"/>
      <c r="I13" s="38" t="s">
        <v>1531</v>
      </c>
      <c r="J13" s="8" t="s">
        <v>92</v>
      </c>
      <c r="K13" s="8" t="s">
        <v>105</v>
      </c>
      <c r="L13" s="10"/>
      <c r="M13" s="8"/>
    </row>
  </sheetData>
  <mergeCells count="2">
    <mergeCell ref="B7:H7"/>
    <mergeCell ref="I7:M7"/>
  </mergeCells>
  <dataValidations>
    <dataValidation type="list" allowBlank="1" showErrorMessage="1" sqref="J3:K6 J8:K13">
      <formula1>"High,Medium,Low,N/A,Critical"</formula1>
    </dataValidation>
    <dataValidation type="list" allowBlank="1" showErrorMessage="1" sqref="I3:I13">
      <formula1>"Pass,Fail,Not Tested,Fixed"</formula1>
    </dataValidation>
  </dataValidations>
  <hyperlinks>
    <hyperlink display="&lt;&lt;&lt;TestScenario" location="TestScenario!A1" ref="A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7.13"/>
    <col customWidth="1" min="3" max="3" width="27.63"/>
    <col customWidth="1" min="4" max="4" width="25.13"/>
    <col customWidth="1" min="5" max="5" width="27.5"/>
    <col customWidth="1" min="6" max="6" width="27.38"/>
    <col customWidth="1" min="7" max="7" width="30.75"/>
    <col customWidth="1" min="8" max="8" width="31.63"/>
    <col customWidth="1" min="9" max="9" width="19.75"/>
    <col customWidth="1" min="10" max="10" width="14.5"/>
    <col customWidth="1" min="11" max="11" width="16.13"/>
    <col customWidth="1" min="12" max="12" width="30.13"/>
    <col customWidth="1" min="13" max="13" width="24.75"/>
  </cols>
  <sheetData>
    <row r="1">
      <c r="A1" s="2" t="s">
        <v>0</v>
      </c>
    </row>
    <row r="2" ht="32.25" customHeight="1">
      <c r="A2" s="4" t="s">
        <v>55</v>
      </c>
      <c r="B2" s="4" t="s">
        <v>57</v>
      </c>
      <c r="C2" s="4" t="s">
        <v>58</v>
      </c>
      <c r="D2" s="4" t="s">
        <v>71</v>
      </c>
      <c r="E2" s="4" t="s">
        <v>72</v>
      </c>
      <c r="F2" s="4" t="s">
        <v>69</v>
      </c>
      <c r="G2" s="4" t="s">
        <v>1459</v>
      </c>
      <c r="H2" s="4" t="s">
        <v>74</v>
      </c>
      <c r="I2" s="4" t="s">
        <v>75</v>
      </c>
      <c r="J2" s="4" t="s">
        <v>76</v>
      </c>
      <c r="K2" s="4" t="s">
        <v>4</v>
      </c>
      <c r="L2" s="4" t="s">
        <v>77</v>
      </c>
      <c r="M2" s="4" t="s">
        <v>78</v>
      </c>
    </row>
    <row r="3">
      <c r="A3" s="8" t="s">
        <v>2296</v>
      </c>
      <c r="B3" s="8" t="s">
        <v>81</v>
      </c>
      <c r="C3" s="39" t="s">
        <v>2299</v>
      </c>
      <c r="D3" s="39" t="s">
        <v>2301</v>
      </c>
      <c r="E3" s="39" t="s">
        <v>2304</v>
      </c>
      <c r="F3" s="39" t="s">
        <v>2306</v>
      </c>
      <c r="G3" s="39" t="s">
        <v>2308</v>
      </c>
      <c r="H3" s="39" t="s">
        <v>1063</v>
      </c>
      <c r="I3" s="38" t="s">
        <v>91</v>
      </c>
      <c r="J3" s="8" t="s">
        <v>127</v>
      </c>
      <c r="K3" s="8" t="s">
        <v>127</v>
      </c>
      <c r="L3" s="39"/>
      <c r="M3" s="39" t="s">
        <v>145</v>
      </c>
    </row>
    <row r="4">
      <c r="A4" s="8" t="s">
        <v>2314</v>
      </c>
      <c r="B4" s="8" t="s">
        <v>81</v>
      </c>
      <c r="C4" s="39" t="s">
        <v>2316</v>
      </c>
      <c r="D4" s="39" t="s">
        <v>2317</v>
      </c>
      <c r="E4" s="39" t="s">
        <v>2319</v>
      </c>
      <c r="F4" s="39" t="s">
        <v>2320</v>
      </c>
      <c r="G4" s="39" t="s">
        <v>2321</v>
      </c>
      <c r="H4" s="39" t="s">
        <v>1063</v>
      </c>
      <c r="I4" s="38" t="s">
        <v>91</v>
      </c>
      <c r="J4" s="8" t="s">
        <v>127</v>
      </c>
      <c r="K4" s="8" t="s">
        <v>127</v>
      </c>
      <c r="L4" s="39"/>
      <c r="M4" s="39" t="s">
        <v>145</v>
      </c>
    </row>
    <row r="5">
      <c r="A5" s="8" t="s">
        <v>2324</v>
      </c>
      <c r="B5" s="8" t="s">
        <v>81</v>
      </c>
      <c r="C5" s="39" t="s">
        <v>2325</v>
      </c>
      <c r="D5" s="39" t="s">
        <v>2326</v>
      </c>
      <c r="E5" s="39" t="s">
        <v>2328</v>
      </c>
      <c r="F5" s="39" t="s">
        <v>2329</v>
      </c>
      <c r="G5" s="39" t="s">
        <v>2330</v>
      </c>
      <c r="H5" s="39"/>
      <c r="I5" s="38" t="s">
        <v>1531</v>
      </c>
      <c r="J5" s="8" t="s">
        <v>127</v>
      </c>
      <c r="K5" s="8" t="s">
        <v>127</v>
      </c>
      <c r="L5" s="39"/>
      <c r="M5" s="39" t="s">
        <v>145</v>
      </c>
    </row>
    <row r="6">
      <c r="A6" s="8" t="s">
        <v>2334</v>
      </c>
      <c r="B6" s="8" t="s">
        <v>81</v>
      </c>
      <c r="C6" s="39" t="s">
        <v>2335</v>
      </c>
      <c r="D6" s="39" t="s">
        <v>2336</v>
      </c>
      <c r="E6" s="39" t="s">
        <v>2337</v>
      </c>
      <c r="F6" s="39" t="s">
        <v>2338</v>
      </c>
      <c r="G6" s="39" t="s">
        <v>2339</v>
      </c>
      <c r="H6" s="39"/>
      <c r="I6" s="38" t="s">
        <v>1531</v>
      </c>
      <c r="J6" s="8" t="s">
        <v>127</v>
      </c>
      <c r="K6" s="8" t="s">
        <v>127</v>
      </c>
      <c r="L6" s="39"/>
      <c r="M6" s="39" t="s">
        <v>145</v>
      </c>
    </row>
    <row r="7">
      <c r="A7" s="8" t="s">
        <v>2347</v>
      </c>
      <c r="B7" s="8" t="s">
        <v>81</v>
      </c>
      <c r="C7" s="39" t="s">
        <v>2348</v>
      </c>
      <c r="D7" s="39" t="s">
        <v>2350</v>
      </c>
      <c r="E7" s="39" t="s">
        <v>2351</v>
      </c>
      <c r="F7" s="39" t="s">
        <v>2352</v>
      </c>
      <c r="G7" s="39" t="s">
        <v>2354</v>
      </c>
      <c r="H7" s="39"/>
      <c r="I7" s="38" t="s">
        <v>1531</v>
      </c>
      <c r="J7" s="8" t="s">
        <v>92</v>
      </c>
      <c r="K7" s="8" t="s">
        <v>92</v>
      </c>
      <c r="L7" s="39"/>
      <c r="M7" s="39" t="s">
        <v>2357</v>
      </c>
    </row>
    <row r="8">
      <c r="A8" s="8" t="s">
        <v>2359</v>
      </c>
      <c r="B8" s="8" t="s">
        <v>81</v>
      </c>
      <c r="C8" s="39" t="s">
        <v>2363</v>
      </c>
      <c r="D8" s="39" t="s">
        <v>2365</v>
      </c>
      <c r="E8" s="39" t="s">
        <v>2367</v>
      </c>
      <c r="F8" s="39" t="s">
        <v>127</v>
      </c>
      <c r="G8" s="39" t="s">
        <v>2368</v>
      </c>
      <c r="H8" s="39"/>
      <c r="I8" s="38" t="s">
        <v>1531</v>
      </c>
      <c r="J8" s="8" t="s">
        <v>127</v>
      </c>
      <c r="K8" s="8" t="s">
        <v>127</v>
      </c>
      <c r="L8" s="39"/>
      <c r="M8" s="39" t="s">
        <v>2370</v>
      </c>
    </row>
    <row r="9">
      <c r="A9" s="8" t="s">
        <v>2371</v>
      </c>
      <c r="B9" s="8" t="s">
        <v>81</v>
      </c>
      <c r="C9" s="39" t="s">
        <v>2373</v>
      </c>
      <c r="D9" s="39" t="s">
        <v>2375</v>
      </c>
      <c r="E9" s="39" t="s">
        <v>2376</v>
      </c>
      <c r="F9" s="39" t="s">
        <v>127</v>
      </c>
      <c r="G9" s="39" t="s">
        <v>2378</v>
      </c>
      <c r="H9" s="39"/>
      <c r="I9" s="38" t="s">
        <v>1531</v>
      </c>
      <c r="J9" s="8" t="s">
        <v>127</v>
      </c>
      <c r="K9" s="8" t="s">
        <v>127</v>
      </c>
      <c r="L9" s="39"/>
      <c r="M9" s="39" t="s">
        <v>2379</v>
      </c>
    </row>
    <row r="10">
      <c r="A10" s="8" t="s">
        <v>2380</v>
      </c>
      <c r="B10" s="8" t="s">
        <v>81</v>
      </c>
      <c r="C10" s="39" t="s">
        <v>2381</v>
      </c>
      <c r="D10" s="39" t="s">
        <v>2382</v>
      </c>
      <c r="E10" s="39" t="s">
        <v>2383</v>
      </c>
      <c r="F10" s="39" t="s">
        <v>2384</v>
      </c>
      <c r="G10" s="39" t="s">
        <v>562</v>
      </c>
      <c r="H10" s="39"/>
      <c r="I10" s="38" t="s">
        <v>1531</v>
      </c>
      <c r="J10" s="8" t="s">
        <v>92</v>
      </c>
      <c r="K10" s="8" t="s">
        <v>92</v>
      </c>
      <c r="L10" s="39"/>
      <c r="M10" s="39" t="s">
        <v>2385</v>
      </c>
    </row>
    <row r="11">
      <c r="A11" s="8" t="s">
        <v>2386</v>
      </c>
      <c r="B11" s="8" t="s">
        <v>81</v>
      </c>
      <c r="C11" s="39" t="s">
        <v>2387</v>
      </c>
      <c r="D11" s="39" t="s">
        <v>2350</v>
      </c>
      <c r="E11" s="39" t="s">
        <v>2388</v>
      </c>
      <c r="F11" s="39" t="s">
        <v>2352</v>
      </c>
      <c r="G11" s="39" t="s">
        <v>2389</v>
      </c>
      <c r="H11" s="39"/>
      <c r="I11" s="38" t="s">
        <v>1531</v>
      </c>
      <c r="J11" s="8" t="s">
        <v>92</v>
      </c>
      <c r="K11" s="8" t="s">
        <v>92</v>
      </c>
      <c r="L11" s="39"/>
      <c r="M11" s="39" t="s">
        <v>2390</v>
      </c>
    </row>
    <row r="12">
      <c r="A12" s="8" t="s">
        <v>2391</v>
      </c>
      <c r="B12" s="8" t="s">
        <v>81</v>
      </c>
      <c r="C12" s="39" t="s">
        <v>2392</v>
      </c>
      <c r="D12" s="39" t="s">
        <v>2350</v>
      </c>
      <c r="E12" s="39" t="s">
        <v>2393</v>
      </c>
      <c r="F12" s="39" t="s">
        <v>127</v>
      </c>
      <c r="G12" s="39" t="s">
        <v>2394</v>
      </c>
      <c r="H12" s="39"/>
      <c r="I12" s="38" t="s">
        <v>1531</v>
      </c>
      <c r="J12" s="8" t="s">
        <v>105</v>
      </c>
      <c r="K12" s="8" t="s">
        <v>105</v>
      </c>
      <c r="L12" s="39"/>
      <c r="M12" s="39" t="s">
        <v>2395</v>
      </c>
    </row>
    <row r="13">
      <c r="A13" s="8" t="s">
        <v>2396</v>
      </c>
      <c r="B13" s="8" t="s">
        <v>81</v>
      </c>
      <c r="C13" s="39" t="s">
        <v>2397</v>
      </c>
      <c r="D13" s="39" t="s">
        <v>2365</v>
      </c>
      <c r="E13" s="39" t="s">
        <v>2393</v>
      </c>
      <c r="F13" s="39" t="s">
        <v>127</v>
      </c>
      <c r="G13" s="39" t="s">
        <v>2398</v>
      </c>
      <c r="H13" s="39"/>
      <c r="I13" s="38" t="s">
        <v>1531</v>
      </c>
      <c r="J13" s="8" t="s">
        <v>121</v>
      </c>
      <c r="K13" s="8" t="s">
        <v>121</v>
      </c>
      <c r="L13" s="39"/>
      <c r="M13" s="39" t="s">
        <v>128</v>
      </c>
    </row>
    <row r="14">
      <c r="A14" s="8" t="s">
        <v>2399</v>
      </c>
      <c r="B14" s="8" t="s">
        <v>81</v>
      </c>
      <c r="C14" s="39" t="s">
        <v>2400</v>
      </c>
      <c r="D14" s="39" t="s">
        <v>2401</v>
      </c>
      <c r="E14" s="39" t="s">
        <v>2402</v>
      </c>
      <c r="F14" s="39" t="s">
        <v>2036</v>
      </c>
      <c r="G14" s="39" t="s">
        <v>2403</v>
      </c>
      <c r="H14" s="39"/>
      <c r="I14" s="38" t="s">
        <v>1531</v>
      </c>
      <c r="J14" s="8" t="s">
        <v>92</v>
      </c>
      <c r="K14" s="8" t="s">
        <v>92</v>
      </c>
      <c r="L14" s="39"/>
      <c r="M14" s="39" t="s">
        <v>206</v>
      </c>
    </row>
    <row r="15">
      <c r="A15" s="8" t="s">
        <v>2404</v>
      </c>
      <c r="B15" s="8" t="s">
        <v>81</v>
      </c>
      <c r="C15" s="39" t="s">
        <v>2405</v>
      </c>
      <c r="D15" s="39" t="s">
        <v>2406</v>
      </c>
      <c r="E15" s="39" t="s">
        <v>2407</v>
      </c>
      <c r="F15" s="39" t="s">
        <v>127</v>
      </c>
      <c r="G15" s="39" t="s">
        <v>2408</v>
      </c>
      <c r="H15" s="39" t="s">
        <v>2409</v>
      </c>
      <c r="I15" s="38" t="s">
        <v>91</v>
      </c>
      <c r="J15" s="8" t="s">
        <v>105</v>
      </c>
      <c r="K15" s="8" t="s">
        <v>105</v>
      </c>
      <c r="L15" s="39"/>
      <c r="M15" s="39" t="s">
        <v>2410</v>
      </c>
    </row>
    <row r="16">
      <c r="A16" s="8" t="s">
        <v>2411</v>
      </c>
      <c r="B16" s="8" t="s">
        <v>81</v>
      </c>
      <c r="C16" s="39" t="s">
        <v>2412</v>
      </c>
      <c r="D16" s="39" t="s">
        <v>2413</v>
      </c>
      <c r="E16" s="39" t="s">
        <v>2414</v>
      </c>
      <c r="F16" s="39" t="s">
        <v>2095</v>
      </c>
      <c r="G16" s="39" t="s">
        <v>2415</v>
      </c>
      <c r="H16" s="39"/>
      <c r="I16" s="38" t="s">
        <v>1531</v>
      </c>
      <c r="J16" s="8" t="s">
        <v>92</v>
      </c>
      <c r="K16" s="8" t="s">
        <v>92</v>
      </c>
      <c r="L16" s="39"/>
      <c r="M16" s="39" t="s">
        <v>2416</v>
      </c>
    </row>
    <row r="17">
      <c r="A17" s="8" t="s">
        <v>2417</v>
      </c>
      <c r="B17" s="8" t="s">
        <v>81</v>
      </c>
      <c r="C17" s="39" t="s">
        <v>2418</v>
      </c>
      <c r="D17" s="39" t="s">
        <v>2419</v>
      </c>
      <c r="E17" s="39" t="s">
        <v>2420</v>
      </c>
      <c r="F17" s="39" t="s">
        <v>2421</v>
      </c>
      <c r="G17" s="39" t="s">
        <v>2422</v>
      </c>
      <c r="H17" s="39"/>
      <c r="I17" s="38" t="s">
        <v>1531</v>
      </c>
      <c r="J17" s="8" t="s">
        <v>105</v>
      </c>
      <c r="K17" s="8" t="s">
        <v>105</v>
      </c>
      <c r="L17" s="39"/>
      <c r="M17" s="39" t="s">
        <v>2423</v>
      </c>
    </row>
    <row r="18">
      <c r="A18" s="8" t="s">
        <v>2424</v>
      </c>
      <c r="B18" s="8" t="s">
        <v>81</v>
      </c>
      <c r="C18" s="39" t="s">
        <v>2425</v>
      </c>
      <c r="D18" s="39" t="s">
        <v>2350</v>
      </c>
      <c r="E18" s="39" t="s">
        <v>2426</v>
      </c>
      <c r="F18" s="39" t="s">
        <v>2352</v>
      </c>
      <c r="G18" s="39" t="s">
        <v>2222</v>
      </c>
      <c r="H18" s="39"/>
      <c r="I18" s="38" t="s">
        <v>1531</v>
      </c>
      <c r="J18" s="8" t="s">
        <v>105</v>
      </c>
      <c r="K18" s="8" t="s">
        <v>105</v>
      </c>
      <c r="L18" s="39"/>
      <c r="M18" s="39" t="s">
        <v>2427</v>
      </c>
    </row>
  </sheetData>
  <dataValidations>
    <dataValidation type="list" allowBlank="1" showErrorMessage="1" sqref="J3:K18">
      <formula1>"High,Medium,Low,N/A"</formula1>
    </dataValidation>
    <dataValidation type="list" allowBlank="1" showErrorMessage="1" sqref="I3:I18">
      <formula1>"Pass,Fail,Not Tested,Fixed"</formula1>
    </dataValidation>
  </dataValidations>
  <hyperlinks>
    <hyperlink display="&lt;&lt;&lt;TestScenario" location="TestScenario!A1" ref="A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9.13"/>
    <col customWidth="1" min="3" max="3" width="26.13"/>
    <col customWidth="1" min="4" max="4" width="31.88"/>
    <col customWidth="1" min="5" max="5" width="30.25"/>
    <col customWidth="1" min="6" max="6" width="29.0"/>
    <col customWidth="1" min="7" max="7" width="32.5"/>
    <col customWidth="1" min="8" max="8" width="30.5"/>
    <col customWidth="1" min="9" max="9" width="18.0"/>
    <col customWidth="1" min="10" max="10" width="16.13"/>
    <col customWidth="1" min="11" max="11" width="16.75"/>
    <col customWidth="1" min="12" max="12" width="22.0"/>
    <col customWidth="1" min="13" max="13" width="27.75"/>
  </cols>
  <sheetData>
    <row r="1">
      <c r="A1" s="22" t="s">
        <v>0</v>
      </c>
      <c r="B1" s="28"/>
      <c r="C1" s="28"/>
      <c r="D1" s="28"/>
      <c r="E1" s="28"/>
      <c r="F1" s="28"/>
      <c r="G1" s="28"/>
      <c r="H1" s="28"/>
      <c r="I1" s="28"/>
      <c r="J1" s="28"/>
      <c r="K1" s="28"/>
      <c r="L1" s="28"/>
      <c r="M1" s="28"/>
      <c r="N1" s="28"/>
      <c r="O1" s="28"/>
      <c r="P1" s="28"/>
      <c r="Q1" s="28"/>
      <c r="R1" s="28"/>
      <c r="S1" s="28"/>
      <c r="T1" s="28"/>
      <c r="U1" s="28"/>
      <c r="V1" s="28"/>
      <c r="W1" s="28"/>
      <c r="X1" s="28"/>
      <c r="Y1" s="28"/>
      <c r="Z1" s="28"/>
    </row>
    <row r="2" ht="34.5" customHeight="1">
      <c r="A2" s="4" t="s">
        <v>55</v>
      </c>
      <c r="B2" s="4" t="s">
        <v>57</v>
      </c>
      <c r="C2" s="4" t="s">
        <v>58</v>
      </c>
      <c r="D2" s="4" t="s">
        <v>71</v>
      </c>
      <c r="E2" s="4" t="s">
        <v>72</v>
      </c>
      <c r="F2" s="4" t="s">
        <v>69</v>
      </c>
      <c r="G2" s="4" t="s">
        <v>1459</v>
      </c>
      <c r="H2" s="4" t="s">
        <v>74</v>
      </c>
      <c r="I2" s="4" t="s">
        <v>75</v>
      </c>
      <c r="J2" s="4" t="s">
        <v>76</v>
      </c>
      <c r="K2" s="4" t="s">
        <v>4</v>
      </c>
      <c r="L2" s="4" t="s">
        <v>77</v>
      </c>
      <c r="M2" s="4" t="s">
        <v>78</v>
      </c>
      <c r="N2" s="28"/>
      <c r="O2" s="28"/>
      <c r="P2" s="28"/>
      <c r="Q2" s="28"/>
      <c r="R2" s="28"/>
      <c r="S2" s="28"/>
      <c r="T2" s="28"/>
      <c r="U2" s="28"/>
      <c r="V2" s="28"/>
      <c r="W2" s="28"/>
      <c r="X2" s="28"/>
      <c r="Y2" s="28"/>
      <c r="Z2" s="28"/>
    </row>
    <row r="3">
      <c r="A3" s="8" t="s">
        <v>2428</v>
      </c>
      <c r="B3" s="8" t="s">
        <v>166</v>
      </c>
      <c r="C3" s="39" t="s">
        <v>2429</v>
      </c>
      <c r="D3" s="39" t="s">
        <v>2430</v>
      </c>
      <c r="E3" s="39" t="s">
        <v>2431</v>
      </c>
      <c r="F3" s="39" t="s">
        <v>1539</v>
      </c>
      <c r="G3" s="39" t="s">
        <v>2432</v>
      </c>
      <c r="H3" s="39"/>
      <c r="I3" s="38" t="s">
        <v>1531</v>
      </c>
      <c r="J3" s="8" t="s">
        <v>105</v>
      </c>
      <c r="K3" s="8" t="s">
        <v>105</v>
      </c>
      <c r="L3" s="39"/>
      <c r="M3" s="39" t="s">
        <v>2433</v>
      </c>
      <c r="N3" s="28"/>
      <c r="O3" s="28"/>
      <c r="P3" s="28"/>
      <c r="Q3" s="28"/>
      <c r="R3" s="28"/>
      <c r="S3" s="28"/>
      <c r="T3" s="28"/>
      <c r="U3" s="28"/>
      <c r="V3" s="28"/>
      <c r="W3" s="28"/>
      <c r="X3" s="28"/>
      <c r="Y3" s="28"/>
      <c r="Z3" s="28"/>
    </row>
    <row r="4">
      <c r="A4" s="8" t="s">
        <v>2435</v>
      </c>
      <c r="B4" s="8" t="s">
        <v>166</v>
      </c>
      <c r="C4" s="39" t="s">
        <v>2436</v>
      </c>
      <c r="D4" s="39" t="s">
        <v>221</v>
      </c>
      <c r="E4" s="39" t="s">
        <v>2437</v>
      </c>
      <c r="F4" s="39" t="s">
        <v>2438</v>
      </c>
      <c r="G4" s="39" t="s">
        <v>2439</v>
      </c>
      <c r="H4" s="39"/>
      <c r="I4" s="38" t="s">
        <v>1531</v>
      </c>
      <c r="J4" s="8" t="s">
        <v>92</v>
      </c>
      <c r="K4" s="8" t="s">
        <v>92</v>
      </c>
      <c r="L4" s="39"/>
      <c r="M4" s="39" t="s">
        <v>206</v>
      </c>
      <c r="N4" s="28"/>
      <c r="O4" s="28"/>
      <c r="P4" s="28"/>
      <c r="Q4" s="28"/>
      <c r="R4" s="28"/>
      <c r="S4" s="28"/>
      <c r="T4" s="28"/>
      <c r="U4" s="28"/>
      <c r="V4" s="28"/>
      <c r="W4" s="28"/>
      <c r="X4" s="28"/>
      <c r="Y4" s="28"/>
      <c r="Z4" s="28"/>
    </row>
    <row r="5">
      <c r="A5" s="8" t="s">
        <v>2442</v>
      </c>
      <c r="B5" s="8" t="s">
        <v>166</v>
      </c>
      <c r="C5" s="39" t="s">
        <v>2443</v>
      </c>
      <c r="D5" s="39" t="s">
        <v>2444</v>
      </c>
      <c r="E5" s="39" t="s">
        <v>2445</v>
      </c>
      <c r="F5" s="39" t="s">
        <v>2446</v>
      </c>
      <c r="G5" s="39" t="s">
        <v>2447</v>
      </c>
      <c r="H5" s="39"/>
      <c r="I5" s="38" t="s">
        <v>1531</v>
      </c>
      <c r="J5" s="8" t="s">
        <v>92</v>
      </c>
      <c r="K5" s="8" t="s">
        <v>92</v>
      </c>
      <c r="L5" s="39"/>
      <c r="M5" s="39" t="s">
        <v>2448</v>
      </c>
      <c r="N5" s="28"/>
      <c r="O5" s="28"/>
      <c r="P5" s="28"/>
      <c r="Q5" s="28"/>
      <c r="R5" s="28"/>
      <c r="S5" s="28"/>
      <c r="T5" s="28"/>
      <c r="U5" s="28"/>
      <c r="V5" s="28"/>
      <c r="W5" s="28"/>
      <c r="X5" s="28"/>
      <c r="Y5" s="28"/>
      <c r="Z5" s="28"/>
    </row>
    <row r="6">
      <c r="A6" s="8" t="s">
        <v>2449</v>
      </c>
      <c r="B6" s="8" t="s">
        <v>166</v>
      </c>
      <c r="C6" s="39" t="s">
        <v>2450</v>
      </c>
      <c r="D6" s="39" t="s">
        <v>2451</v>
      </c>
      <c r="E6" s="39" t="s">
        <v>2452</v>
      </c>
      <c r="F6" s="39" t="s">
        <v>2438</v>
      </c>
      <c r="G6" s="39" t="s">
        <v>2453</v>
      </c>
      <c r="H6" s="39"/>
      <c r="I6" s="38" t="s">
        <v>1531</v>
      </c>
      <c r="J6" s="8" t="s">
        <v>92</v>
      </c>
      <c r="K6" s="8" t="s">
        <v>92</v>
      </c>
      <c r="L6" s="39"/>
      <c r="M6" s="39" t="s">
        <v>1533</v>
      </c>
      <c r="N6" s="28"/>
      <c r="O6" s="28"/>
      <c r="P6" s="28"/>
      <c r="Q6" s="28"/>
      <c r="R6" s="28"/>
      <c r="S6" s="28"/>
      <c r="T6" s="28"/>
      <c r="U6" s="28"/>
      <c r="V6" s="28"/>
      <c r="W6" s="28"/>
      <c r="X6" s="28"/>
      <c r="Y6" s="28"/>
      <c r="Z6" s="28"/>
    </row>
    <row r="7">
      <c r="A7" s="8" t="s">
        <v>2454</v>
      </c>
      <c r="B7" s="8" t="s">
        <v>166</v>
      </c>
      <c r="C7" s="39" t="s">
        <v>2455</v>
      </c>
      <c r="D7" s="39" t="s">
        <v>87</v>
      </c>
      <c r="E7" s="39" t="s">
        <v>2456</v>
      </c>
      <c r="F7" s="39" t="s">
        <v>127</v>
      </c>
      <c r="G7" s="39" t="s">
        <v>2457</v>
      </c>
      <c r="H7" s="39"/>
      <c r="I7" s="38" t="s">
        <v>1531</v>
      </c>
      <c r="J7" s="8" t="s">
        <v>121</v>
      </c>
      <c r="K7" s="8" t="s">
        <v>105</v>
      </c>
      <c r="L7" s="39"/>
      <c r="M7" s="39" t="s">
        <v>2458</v>
      </c>
      <c r="N7" s="28"/>
      <c r="O7" s="28"/>
      <c r="P7" s="28"/>
      <c r="Q7" s="28"/>
      <c r="R7" s="28"/>
      <c r="S7" s="28"/>
      <c r="T7" s="28"/>
      <c r="U7" s="28"/>
      <c r="V7" s="28"/>
      <c r="W7" s="28"/>
      <c r="X7" s="28"/>
      <c r="Y7" s="28"/>
      <c r="Z7" s="28"/>
    </row>
    <row r="8">
      <c r="A8" s="8" t="s">
        <v>2459</v>
      </c>
      <c r="B8" s="8" t="s">
        <v>166</v>
      </c>
      <c r="C8" s="39" t="s">
        <v>2460</v>
      </c>
      <c r="D8" s="39" t="s">
        <v>87</v>
      </c>
      <c r="E8" s="39" t="s">
        <v>2015</v>
      </c>
      <c r="F8" s="39" t="s">
        <v>1397</v>
      </c>
      <c r="G8" s="39" t="s">
        <v>2461</v>
      </c>
      <c r="H8" s="39"/>
      <c r="I8" s="38" t="s">
        <v>1531</v>
      </c>
      <c r="J8" s="8" t="s">
        <v>92</v>
      </c>
      <c r="K8" s="8" t="s">
        <v>92</v>
      </c>
      <c r="L8" s="39"/>
      <c r="M8" s="39" t="s">
        <v>2462</v>
      </c>
      <c r="N8" s="28"/>
      <c r="O8" s="28"/>
      <c r="P8" s="28"/>
      <c r="Q8" s="28"/>
      <c r="R8" s="28"/>
      <c r="S8" s="28"/>
      <c r="T8" s="28"/>
      <c r="U8" s="28"/>
      <c r="V8" s="28"/>
      <c r="W8" s="28"/>
      <c r="X8" s="28"/>
      <c r="Y8" s="28"/>
      <c r="Z8" s="28"/>
    </row>
    <row r="9">
      <c r="A9" s="8" t="s">
        <v>2463</v>
      </c>
      <c r="B9" s="8" t="s">
        <v>166</v>
      </c>
      <c r="C9" s="39" t="s">
        <v>2464</v>
      </c>
      <c r="D9" s="39" t="s">
        <v>87</v>
      </c>
      <c r="E9" s="39" t="s">
        <v>2465</v>
      </c>
      <c r="F9" s="39" t="s">
        <v>2466</v>
      </c>
      <c r="G9" s="39" t="s">
        <v>2467</v>
      </c>
      <c r="H9" s="39"/>
      <c r="I9" s="38" t="s">
        <v>1531</v>
      </c>
      <c r="J9" s="8" t="s">
        <v>105</v>
      </c>
      <c r="K9" s="8" t="s">
        <v>105</v>
      </c>
      <c r="L9" s="39"/>
      <c r="M9" s="39" t="s">
        <v>2468</v>
      </c>
      <c r="N9" s="28"/>
      <c r="O9" s="28"/>
      <c r="P9" s="28"/>
      <c r="Q9" s="28"/>
      <c r="R9" s="28"/>
      <c r="S9" s="28"/>
      <c r="T9" s="28"/>
      <c r="U9" s="28"/>
      <c r="V9" s="28"/>
      <c r="W9" s="28"/>
      <c r="X9" s="28"/>
      <c r="Y9" s="28"/>
      <c r="Z9" s="28"/>
    </row>
    <row r="10">
      <c r="A10" s="8" t="s">
        <v>2469</v>
      </c>
      <c r="B10" s="8" t="s">
        <v>166</v>
      </c>
      <c r="C10" s="39" t="s">
        <v>2470</v>
      </c>
      <c r="D10" s="39" t="s">
        <v>2471</v>
      </c>
      <c r="E10" s="39" t="s">
        <v>2472</v>
      </c>
      <c r="F10" s="39" t="s">
        <v>2473</v>
      </c>
      <c r="G10" s="39" t="s">
        <v>2474</v>
      </c>
      <c r="H10" s="39"/>
      <c r="I10" s="38" t="s">
        <v>1531</v>
      </c>
      <c r="J10" s="8" t="s">
        <v>92</v>
      </c>
      <c r="K10" s="8" t="s">
        <v>92</v>
      </c>
      <c r="L10" s="39"/>
      <c r="M10" s="39" t="s">
        <v>981</v>
      </c>
      <c r="N10" s="28"/>
      <c r="O10" s="28"/>
      <c r="P10" s="28"/>
      <c r="Q10" s="28"/>
      <c r="R10" s="28"/>
      <c r="S10" s="28"/>
      <c r="T10" s="28"/>
      <c r="U10" s="28"/>
      <c r="V10" s="28"/>
      <c r="W10" s="28"/>
      <c r="X10" s="28"/>
      <c r="Y10" s="28"/>
      <c r="Z10" s="28"/>
    </row>
    <row r="11">
      <c r="A11" s="8" t="s">
        <v>2475</v>
      </c>
      <c r="B11" s="8" t="s">
        <v>166</v>
      </c>
      <c r="C11" s="39" t="s">
        <v>2477</v>
      </c>
      <c r="D11" s="39" t="s">
        <v>87</v>
      </c>
      <c r="E11" s="39" t="s">
        <v>2478</v>
      </c>
      <c r="F11" s="39" t="s">
        <v>2479</v>
      </c>
      <c r="G11" s="39" t="s">
        <v>2480</v>
      </c>
      <c r="H11" s="39"/>
      <c r="I11" s="38" t="s">
        <v>1531</v>
      </c>
      <c r="J11" s="8" t="s">
        <v>121</v>
      </c>
      <c r="K11" s="8" t="s">
        <v>121</v>
      </c>
      <c r="L11" s="39"/>
      <c r="M11" s="39" t="s">
        <v>2481</v>
      </c>
      <c r="N11" s="28"/>
      <c r="O11" s="28"/>
      <c r="P11" s="28"/>
      <c r="Q11" s="28"/>
      <c r="R11" s="28"/>
      <c r="S11" s="28"/>
      <c r="T11" s="28"/>
      <c r="U11" s="28"/>
      <c r="V11" s="28"/>
      <c r="W11" s="28"/>
      <c r="X11" s="28"/>
      <c r="Y11" s="28"/>
      <c r="Z11" s="28"/>
    </row>
    <row r="12">
      <c r="A12" s="8" t="s">
        <v>2482</v>
      </c>
      <c r="B12" s="8" t="s">
        <v>166</v>
      </c>
      <c r="C12" s="39" t="s">
        <v>2483</v>
      </c>
      <c r="D12" s="39" t="s">
        <v>87</v>
      </c>
      <c r="E12" s="39" t="s">
        <v>2485</v>
      </c>
      <c r="F12" s="39" t="s">
        <v>2352</v>
      </c>
      <c r="G12" s="39" t="s">
        <v>2487</v>
      </c>
      <c r="H12" s="39"/>
      <c r="I12" s="38" t="s">
        <v>1531</v>
      </c>
      <c r="J12" s="8" t="s">
        <v>92</v>
      </c>
      <c r="K12" s="8" t="s">
        <v>92</v>
      </c>
      <c r="L12" s="39"/>
      <c r="M12" s="39" t="s">
        <v>2488</v>
      </c>
      <c r="N12" s="28"/>
      <c r="O12" s="28"/>
      <c r="P12" s="28"/>
      <c r="Q12" s="28"/>
      <c r="R12" s="28"/>
      <c r="S12" s="28"/>
      <c r="T12" s="28"/>
      <c r="U12" s="28"/>
      <c r="V12" s="28"/>
      <c r="W12" s="28"/>
      <c r="X12" s="28"/>
      <c r="Y12" s="28"/>
      <c r="Z12" s="28"/>
    </row>
    <row r="13">
      <c r="A13" s="8" t="s">
        <v>2492</v>
      </c>
      <c r="B13" s="8" t="s">
        <v>166</v>
      </c>
      <c r="C13" s="39" t="s">
        <v>2494</v>
      </c>
      <c r="D13" s="39" t="s">
        <v>2496</v>
      </c>
      <c r="E13" s="39" t="s">
        <v>2497</v>
      </c>
      <c r="F13" s="39" t="s">
        <v>1107</v>
      </c>
      <c r="G13" s="39" t="s">
        <v>2498</v>
      </c>
      <c r="H13" s="39"/>
      <c r="I13" s="38" t="s">
        <v>1531</v>
      </c>
      <c r="J13" s="8" t="s">
        <v>105</v>
      </c>
      <c r="K13" s="8" t="s">
        <v>105</v>
      </c>
      <c r="L13" s="39"/>
      <c r="M13" s="39" t="s">
        <v>2499</v>
      </c>
      <c r="N13" s="28"/>
      <c r="O13" s="28"/>
      <c r="P13" s="28"/>
      <c r="Q13" s="28"/>
      <c r="R13" s="28"/>
      <c r="S13" s="28"/>
      <c r="T13" s="28"/>
      <c r="U13" s="28"/>
      <c r="V13" s="28"/>
      <c r="W13" s="28"/>
      <c r="X13" s="28"/>
      <c r="Y13" s="28"/>
      <c r="Z13" s="28"/>
    </row>
    <row r="14">
      <c r="A14" s="8" t="s">
        <v>2501</v>
      </c>
      <c r="B14" s="8" t="s">
        <v>166</v>
      </c>
      <c r="C14" s="39" t="s">
        <v>2503</v>
      </c>
      <c r="D14" s="39" t="s">
        <v>307</v>
      </c>
      <c r="E14" s="39" t="s">
        <v>2505</v>
      </c>
      <c r="F14" s="39" t="s">
        <v>2506</v>
      </c>
      <c r="G14" s="39" t="s">
        <v>2508</v>
      </c>
      <c r="H14" s="39"/>
      <c r="I14" s="38" t="s">
        <v>1531</v>
      </c>
      <c r="J14" s="8" t="s">
        <v>105</v>
      </c>
      <c r="K14" s="8" t="s">
        <v>105</v>
      </c>
      <c r="L14" s="39"/>
      <c r="M14" s="39" t="s">
        <v>2499</v>
      </c>
      <c r="N14" s="28"/>
      <c r="O14" s="28"/>
      <c r="P14" s="28"/>
      <c r="Q14" s="28"/>
      <c r="R14" s="28"/>
      <c r="S14" s="28"/>
      <c r="T14" s="28"/>
      <c r="U14" s="28"/>
      <c r="V14" s="28"/>
      <c r="W14" s="28"/>
      <c r="X14" s="28"/>
      <c r="Y14" s="28"/>
      <c r="Z14" s="28"/>
    </row>
    <row r="15">
      <c r="A15" s="8" t="s">
        <v>2511</v>
      </c>
      <c r="B15" s="8" t="s">
        <v>166</v>
      </c>
      <c r="C15" s="39" t="s">
        <v>2512</v>
      </c>
      <c r="D15" s="39" t="s">
        <v>2513</v>
      </c>
      <c r="E15" s="39" t="s">
        <v>2515</v>
      </c>
      <c r="F15" s="39" t="s">
        <v>127</v>
      </c>
      <c r="G15" s="39" t="s">
        <v>2517</v>
      </c>
      <c r="H15" s="39"/>
      <c r="I15" s="38" t="s">
        <v>1531</v>
      </c>
      <c r="J15" s="8" t="s">
        <v>427</v>
      </c>
      <c r="K15" s="8" t="s">
        <v>92</v>
      </c>
      <c r="L15" s="39"/>
      <c r="M15" s="39" t="s">
        <v>2520</v>
      </c>
      <c r="N15" s="28"/>
      <c r="O15" s="28"/>
      <c r="P15" s="28"/>
      <c r="Q15" s="28"/>
      <c r="R15" s="28"/>
      <c r="S15" s="28"/>
      <c r="T15" s="28"/>
      <c r="U15" s="28"/>
      <c r="V15" s="28"/>
      <c r="W15" s="28"/>
      <c r="X15" s="28"/>
      <c r="Y15" s="28"/>
      <c r="Z15" s="28"/>
    </row>
    <row r="16">
      <c r="A16" s="8" t="s">
        <v>2521</v>
      </c>
      <c r="B16" s="8" t="s">
        <v>166</v>
      </c>
      <c r="C16" s="39" t="s">
        <v>2523</v>
      </c>
      <c r="D16" s="39" t="s">
        <v>2471</v>
      </c>
      <c r="E16" s="39" t="s">
        <v>2525</v>
      </c>
      <c r="F16" s="39" t="s">
        <v>2527</v>
      </c>
      <c r="G16" s="39" t="s">
        <v>2528</v>
      </c>
      <c r="H16" s="39"/>
      <c r="I16" s="38" t="s">
        <v>1531</v>
      </c>
      <c r="J16" s="8" t="s">
        <v>92</v>
      </c>
      <c r="K16" s="8" t="s">
        <v>92</v>
      </c>
      <c r="L16" s="39"/>
      <c r="M16" s="39" t="s">
        <v>981</v>
      </c>
      <c r="N16" s="28"/>
      <c r="O16" s="28"/>
      <c r="P16" s="28"/>
      <c r="Q16" s="28"/>
      <c r="R16" s="28"/>
      <c r="S16" s="28"/>
      <c r="T16" s="28"/>
      <c r="U16" s="28"/>
      <c r="V16" s="28"/>
      <c r="W16" s="28"/>
      <c r="X16" s="28"/>
      <c r="Y16" s="28"/>
      <c r="Z16" s="28"/>
    </row>
    <row r="17">
      <c r="A17" s="8" t="s">
        <v>2530</v>
      </c>
      <c r="B17" s="8" t="s">
        <v>166</v>
      </c>
      <c r="C17" s="39" t="s">
        <v>2531</v>
      </c>
      <c r="D17" s="39" t="s">
        <v>2533</v>
      </c>
      <c r="E17" s="39" t="s">
        <v>2534</v>
      </c>
      <c r="F17" s="39" t="s">
        <v>127</v>
      </c>
      <c r="G17" s="39" t="s">
        <v>2536</v>
      </c>
      <c r="H17" s="39"/>
      <c r="I17" s="38" t="s">
        <v>1531</v>
      </c>
      <c r="J17" s="8" t="s">
        <v>105</v>
      </c>
      <c r="K17" s="8" t="s">
        <v>105</v>
      </c>
      <c r="L17" s="39"/>
      <c r="M17" s="39" t="s">
        <v>2539</v>
      </c>
      <c r="N17" s="28"/>
      <c r="O17" s="28"/>
      <c r="P17" s="28"/>
      <c r="Q17" s="28"/>
      <c r="R17" s="28"/>
      <c r="S17" s="28"/>
      <c r="T17" s="28"/>
      <c r="U17" s="28"/>
      <c r="V17" s="28"/>
      <c r="W17" s="28"/>
      <c r="X17" s="28"/>
      <c r="Y17" s="28"/>
      <c r="Z17" s="28"/>
    </row>
    <row r="18">
      <c r="A18" s="83"/>
      <c r="B18" s="84" t="s">
        <v>2541</v>
      </c>
      <c r="C18" s="23"/>
      <c r="D18" s="23"/>
      <c r="E18" s="23"/>
      <c r="F18" s="23"/>
      <c r="G18" s="23"/>
      <c r="H18" s="24"/>
      <c r="I18" s="49"/>
      <c r="J18" s="23"/>
      <c r="K18" s="23"/>
      <c r="L18" s="23"/>
      <c r="M18" s="24"/>
      <c r="N18" s="28"/>
      <c r="O18" s="28"/>
      <c r="P18" s="28"/>
      <c r="Q18" s="28"/>
      <c r="R18" s="28"/>
      <c r="S18" s="28"/>
      <c r="T18" s="28"/>
      <c r="U18" s="28"/>
      <c r="V18" s="28"/>
      <c r="W18" s="28"/>
      <c r="X18" s="28"/>
      <c r="Y18" s="28"/>
      <c r="Z18" s="28"/>
    </row>
    <row r="19">
      <c r="A19" s="8" t="s">
        <v>2544</v>
      </c>
      <c r="B19" s="8" t="s">
        <v>166</v>
      </c>
      <c r="C19" s="39" t="s">
        <v>2545</v>
      </c>
      <c r="D19" s="39" t="s">
        <v>2430</v>
      </c>
      <c r="E19" s="39" t="s">
        <v>2547</v>
      </c>
      <c r="F19" s="39" t="s">
        <v>1539</v>
      </c>
      <c r="G19" s="39" t="s">
        <v>2549</v>
      </c>
      <c r="H19" s="39"/>
      <c r="I19" s="38" t="s">
        <v>1531</v>
      </c>
      <c r="J19" s="8" t="s">
        <v>105</v>
      </c>
      <c r="K19" s="8" t="s">
        <v>92</v>
      </c>
      <c r="L19" s="39"/>
      <c r="M19" s="39" t="s">
        <v>2552</v>
      </c>
      <c r="N19" s="28"/>
      <c r="O19" s="28"/>
      <c r="P19" s="28"/>
      <c r="Q19" s="28"/>
      <c r="R19" s="28"/>
      <c r="S19" s="28"/>
      <c r="T19" s="28"/>
      <c r="U19" s="28"/>
      <c r="V19" s="28"/>
      <c r="W19" s="28"/>
      <c r="X19" s="28"/>
      <c r="Y19" s="28"/>
      <c r="Z19" s="28"/>
    </row>
    <row r="20">
      <c r="A20" s="8" t="s">
        <v>2553</v>
      </c>
      <c r="B20" s="8" t="s">
        <v>166</v>
      </c>
      <c r="C20" s="39" t="s">
        <v>2556</v>
      </c>
      <c r="D20" s="39" t="s">
        <v>2430</v>
      </c>
      <c r="E20" s="39" t="s">
        <v>2557</v>
      </c>
      <c r="F20" s="39" t="s">
        <v>2558</v>
      </c>
      <c r="G20" s="39" t="s">
        <v>2559</v>
      </c>
      <c r="H20" s="39"/>
      <c r="I20" s="38" t="s">
        <v>1531</v>
      </c>
      <c r="J20" s="8" t="s">
        <v>121</v>
      </c>
      <c r="K20" s="8" t="s">
        <v>105</v>
      </c>
      <c r="L20" s="39"/>
      <c r="M20" s="39" t="s">
        <v>2561</v>
      </c>
      <c r="N20" s="28"/>
      <c r="O20" s="28"/>
      <c r="P20" s="28"/>
      <c r="Q20" s="28"/>
      <c r="R20" s="28"/>
      <c r="S20" s="28"/>
      <c r="T20" s="28"/>
      <c r="U20" s="28"/>
      <c r="V20" s="28"/>
      <c r="W20" s="28"/>
      <c r="X20" s="28"/>
      <c r="Y20" s="28"/>
      <c r="Z20" s="28"/>
    </row>
    <row r="21">
      <c r="A21" s="8" t="s">
        <v>2562</v>
      </c>
      <c r="B21" s="8" t="s">
        <v>166</v>
      </c>
      <c r="C21" s="39" t="s">
        <v>2564</v>
      </c>
      <c r="D21" s="39" t="s">
        <v>87</v>
      </c>
      <c r="E21" s="39" t="s">
        <v>2565</v>
      </c>
      <c r="F21" s="39" t="s">
        <v>333</v>
      </c>
      <c r="G21" s="39" t="s">
        <v>2567</v>
      </c>
      <c r="H21" s="39"/>
      <c r="I21" s="38" t="s">
        <v>1531</v>
      </c>
      <c r="J21" s="8" t="s">
        <v>105</v>
      </c>
      <c r="K21" s="8" t="s">
        <v>92</v>
      </c>
      <c r="L21" s="39"/>
      <c r="M21" s="39" t="s">
        <v>2569</v>
      </c>
      <c r="N21" s="28"/>
      <c r="O21" s="28"/>
      <c r="P21" s="28"/>
      <c r="Q21" s="28"/>
      <c r="R21" s="28"/>
      <c r="S21" s="28"/>
      <c r="T21" s="28"/>
      <c r="U21" s="28"/>
      <c r="V21" s="28"/>
      <c r="W21" s="28"/>
      <c r="X21" s="28"/>
      <c r="Y21" s="28"/>
      <c r="Z21" s="28"/>
    </row>
    <row r="22">
      <c r="A22" s="8" t="s">
        <v>2570</v>
      </c>
      <c r="B22" s="8" t="s">
        <v>166</v>
      </c>
      <c r="C22" s="39" t="s">
        <v>2571</v>
      </c>
      <c r="D22" s="39" t="s">
        <v>203</v>
      </c>
      <c r="E22" s="39" t="s">
        <v>2572</v>
      </c>
      <c r="F22" s="39" t="s">
        <v>2438</v>
      </c>
      <c r="G22" s="39" t="s">
        <v>2574</v>
      </c>
      <c r="H22" s="39"/>
      <c r="I22" s="38" t="s">
        <v>1531</v>
      </c>
      <c r="J22" s="8" t="s">
        <v>105</v>
      </c>
      <c r="K22" s="8" t="s">
        <v>105</v>
      </c>
      <c r="L22" s="39"/>
      <c r="M22" s="39" t="s">
        <v>2577</v>
      </c>
      <c r="N22" s="28"/>
      <c r="O22" s="28"/>
      <c r="P22" s="28"/>
      <c r="Q22" s="28"/>
      <c r="R22" s="28"/>
      <c r="S22" s="28"/>
      <c r="T22" s="28"/>
      <c r="U22" s="28"/>
      <c r="V22" s="28"/>
      <c r="W22" s="28"/>
      <c r="X22" s="28"/>
      <c r="Y22" s="28"/>
      <c r="Z22" s="28"/>
    </row>
    <row r="23">
      <c r="A23" s="8" t="s">
        <v>2579</v>
      </c>
      <c r="B23" s="8" t="s">
        <v>166</v>
      </c>
      <c r="C23" s="39" t="s">
        <v>2580</v>
      </c>
      <c r="D23" s="39" t="s">
        <v>2430</v>
      </c>
      <c r="E23" s="39" t="s">
        <v>2581</v>
      </c>
      <c r="F23" s="39" t="s">
        <v>2582</v>
      </c>
      <c r="G23" s="39" t="s">
        <v>2583</v>
      </c>
      <c r="H23" s="39"/>
      <c r="I23" s="38" t="s">
        <v>1531</v>
      </c>
      <c r="J23" s="8" t="s">
        <v>121</v>
      </c>
      <c r="K23" s="8" t="s">
        <v>105</v>
      </c>
      <c r="L23" s="39"/>
      <c r="M23" s="39" t="s">
        <v>2586</v>
      </c>
      <c r="N23" s="28"/>
      <c r="O23" s="28"/>
      <c r="P23" s="28"/>
      <c r="Q23" s="28"/>
      <c r="R23" s="28"/>
      <c r="S23" s="28"/>
      <c r="T23" s="28"/>
      <c r="U23" s="28"/>
      <c r="V23" s="28"/>
      <c r="W23" s="28"/>
      <c r="X23" s="28"/>
      <c r="Y23" s="28"/>
      <c r="Z23" s="28"/>
    </row>
    <row r="24">
      <c r="A24" s="8" t="s">
        <v>2587</v>
      </c>
      <c r="B24" s="8" t="s">
        <v>166</v>
      </c>
      <c r="C24" s="39" t="s">
        <v>2588</v>
      </c>
      <c r="D24" s="39" t="s">
        <v>2430</v>
      </c>
      <c r="E24" s="39" t="s">
        <v>2589</v>
      </c>
      <c r="F24" s="39" t="s">
        <v>1539</v>
      </c>
      <c r="G24" s="39" t="s">
        <v>2590</v>
      </c>
      <c r="H24" s="39"/>
      <c r="I24" s="38" t="s">
        <v>1531</v>
      </c>
      <c r="J24" s="8" t="s">
        <v>105</v>
      </c>
      <c r="K24" s="8" t="s">
        <v>92</v>
      </c>
      <c r="L24" s="39"/>
      <c r="M24" s="39" t="s">
        <v>2595</v>
      </c>
      <c r="N24" s="28"/>
      <c r="O24" s="28"/>
      <c r="P24" s="28"/>
      <c r="Q24" s="28"/>
      <c r="R24" s="28"/>
      <c r="S24" s="28"/>
      <c r="T24" s="28"/>
      <c r="U24" s="28"/>
      <c r="V24" s="28"/>
      <c r="W24" s="28"/>
      <c r="X24" s="28"/>
      <c r="Y24" s="28"/>
      <c r="Z24" s="28"/>
    </row>
    <row r="25">
      <c r="A25" s="8" t="s">
        <v>2596</v>
      </c>
      <c r="B25" s="8" t="s">
        <v>166</v>
      </c>
      <c r="C25" s="39" t="s">
        <v>2598</v>
      </c>
      <c r="D25" s="39" t="s">
        <v>2430</v>
      </c>
      <c r="E25" s="39" t="s">
        <v>2600</v>
      </c>
      <c r="F25" s="39" t="s">
        <v>2601</v>
      </c>
      <c r="G25" s="39" t="s">
        <v>2602</v>
      </c>
      <c r="H25" s="39"/>
      <c r="I25" s="38" t="s">
        <v>1531</v>
      </c>
      <c r="J25" s="8" t="s">
        <v>121</v>
      </c>
      <c r="K25" s="8" t="s">
        <v>121</v>
      </c>
      <c r="L25" s="39"/>
      <c r="M25" s="39" t="s">
        <v>2605</v>
      </c>
      <c r="N25" s="28"/>
      <c r="O25" s="28"/>
      <c r="P25" s="28"/>
      <c r="Q25" s="28"/>
      <c r="R25" s="28"/>
      <c r="S25" s="28"/>
      <c r="T25" s="28"/>
      <c r="U25" s="28"/>
      <c r="V25" s="28"/>
      <c r="W25" s="28"/>
      <c r="X25" s="28"/>
      <c r="Y25" s="28"/>
      <c r="Z25" s="28"/>
    </row>
    <row r="26">
      <c r="A26" s="8" t="s">
        <v>2608</v>
      </c>
      <c r="B26" s="8" t="s">
        <v>166</v>
      </c>
      <c r="C26" s="39" t="s">
        <v>2610</v>
      </c>
      <c r="D26" s="39" t="s">
        <v>2430</v>
      </c>
      <c r="E26" s="39" t="s">
        <v>2611</v>
      </c>
      <c r="F26" s="39" t="s">
        <v>2613</v>
      </c>
      <c r="G26" s="39" t="s">
        <v>2614</v>
      </c>
      <c r="H26" s="39"/>
      <c r="I26" s="38" t="s">
        <v>1531</v>
      </c>
      <c r="J26" s="8" t="s">
        <v>105</v>
      </c>
      <c r="K26" s="8" t="s">
        <v>92</v>
      </c>
      <c r="L26" s="39"/>
      <c r="M26" s="39" t="s">
        <v>2617</v>
      </c>
      <c r="N26" s="28"/>
      <c r="O26" s="28"/>
      <c r="P26" s="28"/>
      <c r="Q26" s="28"/>
      <c r="R26" s="28"/>
      <c r="S26" s="28"/>
      <c r="T26" s="28"/>
      <c r="U26" s="28"/>
      <c r="V26" s="28"/>
      <c r="W26" s="28"/>
      <c r="X26" s="28"/>
      <c r="Y26" s="28"/>
      <c r="Z26" s="28"/>
    </row>
    <row r="27">
      <c r="A27" s="8" t="s">
        <v>2620</v>
      </c>
      <c r="B27" s="8" t="s">
        <v>166</v>
      </c>
      <c r="C27" s="39" t="s">
        <v>2621</v>
      </c>
      <c r="D27" s="39" t="s">
        <v>2430</v>
      </c>
      <c r="E27" s="39" t="s">
        <v>1108</v>
      </c>
      <c r="F27" s="39" t="s">
        <v>2623</v>
      </c>
      <c r="G27" s="39" t="s">
        <v>2624</v>
      </c>
      <c r="H27" s="39"/>
      <c r="I27" s="38" t="s">
        <v>1531</v>
      </c>
      <c r="J27" s="8" t="s">
        <v>121</v>
      </c>
      <c r="K27" s="8" t="s">
        <v>105</v>
      </c>
      <c r="L27" s="39"/>
      <c r="M27" s="39" t="s">
        <v>2627</v>
      </c>
      <c r="N27" s="28"/>
      <c r="O27" s="28"/>
      <c r="P27" s="28"/>
      <c r="Q27" s="28"/>
      <c r="R27" s="28"/>
      <c r="S27" s="28"/>
      <c r="T27" s="28"/>
      <c r="U27" s="28"/>
      <c r="V27" s="28"/>
      <c r="W27" s="28"/>
      <c r="X27" s="28"/>
      <c r="Y27" s="28"/>
      <c r="Z27" s="28"/>
    </row>
    <row r="28">
      <c r="A28" s="8" t="s">
        <v>2629</v>
      </c>
      <c r="B28" s="8" t="s">
        <v>166</v>
      </c>
      <c r="C28" s="39" t="s">
        <v>2630</v>
      </c>
      <c r="D28" s="39" t="s">
        <v>2430</v>
      </c>
      <c r="E28" s="39" t="s">
        <v>2632</v>
      </c>
      <c r="F28" s="39" t="s">
        <v>2633</v>
      </c>
      <c r="G28" s="39" t="s">
        <v>2634</v>
      </c>
      <c r="H28" s="39"/>
      <c r="I28" s="38" t="s">
        <v>1531</v>
      </c>
      <c r="J28" s="8" t="s">
        <v>92</v>
      </c>
      <c r="K28" s="8" t="s">
        <v>92</v>
      </c>
      <c r="L28" s="39"/>
      <c r="M28" s="39" t="s">
        <v>2637</v>
      </c>
      <c r="N28" s="28"/>
      <c r="O28" s="28"/>
      <c r="P28" s="28"/>
      <c r="Q28" s="28"/>
      <c r="R28" s="28"/>
      <c r="S28" s="28"/>
      <c r="T28" s="28"/>
      <c r="U28" s="28"/>
      <c r="V28" s="28"/>
      <c r="W28" s="28"/>
      <c r="X28" s="28"/>
      <c r="Y28" s="28"/>
      <c r="Z28" s="28"/>
    </row>
    <row r="29">
      <c r="A29" s="83"/>
      <c r="B29" s="84" t="s">
        <v>2638</v>
      </c>
      <c r="C29" s="23"/>
      <c r="D29" s="23"/>
      <c r="E29" s="23"/>
      <c r="F29" s="23"/>
      <c r="G29" s="23"/>
      <c r="H29" s="24"/>
      <c r="I29" s="49"/>
      <c r="J29" s="23"/>
      <c r="K29" s="23"/>
      <c r="L29" s="23"/>
      <c r="M29" s="24"/>
      <c r="N29" s="28"/>
      <c r="O29" s="28"/>
      <c r="P29" s="28"/>
      <c r="Q29" s="28"/>
      <c r="R29" s="28"/>
      <c r="S29" s="28"/>
      <c r="T29" s="28"/>
      <c r="U29" s="28"/>
      <c r="V29" s="28"/>
      <c r="W29" s="28"/>
      <c r="X29" s="28"/>
      <c r="Y29" s="28"/>
      <c r="Z29" s="28"/>
    </row>
    <row r="30">
      <c r="A30" s="8" t="s">
        <v>2642</v>
      </c>
      <c r="B30" s="8" t="s">
        <v>166</v>
      </c>
      <c r="C30" s="39" t="s">
        <v>2643</v>
      </c>
      <c r="D30" s="39" t="s">
        <v>2430</v>
      </c>
      <c r="E30" s="39" t="s">
        <v>2644</v>
      </c>
      <c r="F30" s="39" t="s">
        <v>2645</v>
      </c>
      <c r="G30" s="39" t="s">
        <v>2646</v>
      </c>
      <c r="H30" s="39"/>
      <c r="I30" s="38" t="s">
        <v>1531</v>
      </c>
      <c r="J30" s="8" t="s">
        <v>92</v>
      </c>
      <c r="K30" s="8" t="s">
        <v>92</v>
      </c>
      <c r="L30" s="39"/>
      <c r="M30" s="39" t="s">
        <v>2648</v>
      </c>
      <c r="N30" s="28"/>
      <c r="O30" s="28"/>
      <c r="P30" s="28"/>
      <c r="Q30" s="28"/>
      <c r="R30" s="28"/>
      <c r="S30" s="28"/>
      <c r="T30" s="28"/>
      <c r="U30" s="28"/>
      <c r="V30" s="28"/>
      <c r="W30" s="28"/>
      <c r="X30" s="28"/>
      <c r="Y30" s="28"/>
      <c r="Z30" s="28"/>
    </row>
    <row r="31">
      <c r="A31" s="8" t="s">
        <v>2652</v>
      </c>
      <c r="B31" s="8" t="s">
        <v>166</v>
      </c>
      <c r="C31" s="39" t="s">
        <v>2653</v>
      </c>
      <c r="D31" s="39" t="s">
        <v>2430</v>
      </c>
      <c r="E31" s="39" t="s">
        <v>2654</v>
      </c>
      <c r="F31" s="39" t="s">
        <v>1539</v>
      </c>
      <c r="G31" s="39" t="s">
        <v>2655</v>
      </c>
      <c r="H31" s="39"/>
      <c r="I31" s="38" t="s">
        <v>1531</v>
      </c>
      <c r="J31" s="8" t="s">
        <v>92</v>
      </c>
      <c r="K31" s="8" t="s">
        <v>92</v>
      </c>
      <c r="L31" s="39"/>
      <c r="M31" s="39" t="s">
        <v>2659</v>
      </c>
      <c r="N31" s="28"/>
      <c r="O31" s="28"/>
      <c r="P31" s="28"/>
      <c r="Q31" s="28"/>
      <c r="R31" s="28"/>
      <c r="S31" s="28"/>
      <c r="T31" s="28"/>
      <c r="U31" s="28"/>
      <c r="V31" s="28"/>
      <c r="W31" s="28"/>
      <c r="X31" s="28"/>
      <c r="Y31" s="28"/>
      <c r="Z31" s="28"/>
    </row>
    <row r="32">
      <c r="A32" s="8" t="s">
        <v>2660</v>
      </c>
      <c r="B32" s="8" t="s">
        <v>166</v>
      </c>
      <c r="C32" s="39" t="s">
        <v>2661</v>
      </c>
      <c r="D32" s="39" t="s">
        <v>2663</v>
      </c>
      <c r="E32" s="39" t="s">
        <v>2665</v>
      </c>
      <c r="F32" s="39" t="s">
        <v>2666</v>
      </c>
      <c r="G32" s="39" t="s">
        <v>2667</v>
      </c>
      <c r="H32" s="39"/>
      <c r="I32" s="38" t="s">
        <v>1531</v>
      </c>
      <c r="J32" s="8" t="s">
        <v>92</v>
      </c>
      <c r="K32" s="8" t="s">
        <v>92</v>
      </c>
      <c r="L32" s="39"/>
      <c r="M32" s="39" t="s">
        <v>2671</v>
      </c>
      <c r="N32" s="28"/>
      <c r="O32" s="28"/>
      <c r="P32" s="28"/>
      <c r="Q32" s="28"/>
      <c r="R32" s="28"/>
      <c r="S32" s="28"/>
      <c r="T32" s="28"/>
      <c r="U32" s="28"/>
      <c r="V32" s="28"/>
      <c r="W32" s="28"/>
      <c r="X32" s="28"/>
      <c r="Y32" s="28"/>
      <c r="Z32" s="28"/>
    </row>
    <row r="33">
      <c r="A33" s="8" t="s">
        <v>2672</v>
      </c>
      <c r="B33" s="8" t="s">
        <v>166</v>
      </c>
      <c r="C33" s="39" t="s">
        <v>2673</v>
      </c>
      <c r="D33" s="39" t="s">
        <v>261</v>
      </c>
      <c r="E33" s="39" t="s">
        <v>2675</v>
      </c>
      <c r="F33" s="39" t="s">
        <v>2676</v>
      </c>
      <c r="G33" s="39" t="s">
        <v>2678</v>
      </c>
      <c r="H33" s="39"/>
      <c r="I33" s="38" t="s">
        <v>1531</v>
      </c>
      <c r="J33" s="8" t="s">
        <v>427</v>
      </c>
      <c r="K33" s="8" t="s">
        <v>92</v>
      </c>
      <c r="L33" s="39"/>
      <c r="M33" s="39" t="s">
        <v>2680</v>
      </c>
      <c r="N33" s="28"/>
      <c r="O33" s="28"/>
      <c r="P33" s="28"/>
      <c r="Q33" s="28"/>
      <c r="R33" s="28"/>
      <c r="S33" s="28"/>
      <c r="T33" s="28"/>
      <c r="U33" s="28"/>
      <c r="V33" s="28"/>
      <c r="W33" s="28"/>
      <c r="X33" s="28"/>
      <c r="Y33" s="28"/>
      <c r="Z33" s="28"/>
    </row>
    <row r="34">
      <c r="A34" s="8" t="s">
        <v>2683</v>
      </c>
      <c r="B34" s="8" t="s">
        <v>166</v>
      </c>
      <c r="C34" s="39" t="s">
        <v>2685</v>
      </c>
      <c r="D34" s="39" t="s">
        <v>2430</v>
      </c>
      <c r="E34" s="39" t="s">
        <v>2687</v>
      </c>
      <c r="F34" s="39" t="s">
        <v>2688</v>
      </c>
      <c r="G34" s="39" t="s">
        <v>2689</v>
      </c>
      <c r="H34" s="39"/>
      <c r="I34" s="38" t="s">
        <v>1531</v>
      </c>
      <c r="J34" s="8" t="s">
        <v>92</v>
      </c>
      <c r="K34" s="8" t="s">
        <v>92</v>
      </c>
      <c r="L34" s="39"/>
      <c r="M34" s="39" t="s">
        <v>2690</v>
      </c>
      <c r="N34" s="28"/>
      <c r="O34" s="28"/>
      <c r="P34" s="28"/>
      <c r="Q34" s="28"/>
      <c r="R34" s="28"/>
      <c r="S34" s="28"/>
      <c r="T34" s="28"/>
      <c r="U34" s="28"/>
      <c r="V34" s="28"/>
      <c r="W34" s="28"/>
      <c r="X34" s="28"/>
      <c r="Y34" s="28"/>
      <c r="Z34" s="28"/>
    </row>
    <row r="35">
      <c r="A35" s="8" t="s">
        <v>2692</v>
      </c>
      <c r="B35" s="8" t="s">
        <v>166</v>
      </c>
      <c r="C35" s="39" t="s">
        <v>2693</v>
      </c>
      <c r="D35" s="39" t="s">
        <v>2694</v>
      </c>
      <c r="E35" s="39" t="s">
        <v>2695</v>
      </c>
      <c r="F35" s="39" t="s">
        <v>2696</v>
      </c>
      <c r="G35" s="39" t="s">
        <v>2697</v>
      </c>
      <c r="H35" s="39"/>
      <c r="I35" s="38" t="s">
        <v>1531</v>
      </c>
      <c r="J35" s="8" t="s">
        <v>105</v>
      </c>
      <c r="K35" s="8" t="s">
        <v>105</v>
      </c>
      <c r="L35" s="39"/>
      <c r="M35" s="39" t="s">
        <v>981</v>
      </c>
      <c r="N35" s="28"/>
      <c r="O35" s="28"/>
      <c r="P35" s="28"/>
      <c r="Q35" s="28"/>
      <c r="R35" s="28"/>
      <c r="S35" s="28"/>
      <c r="T35" s="28"/>
      <c r="U35" s="28"/>
      <c r="V35" s="28"/>
      <c r="W35" s="28"/>
      <c r="X35" s="28"/>
      <c r="Y35" s="28"/>
      <c r="Z35" s="28"/>
    </row>
    <row r="36">
      <c r="A36" s="8" t="s">
        <v>2699</v>
      </c>
      <c r="B36" s="8" t="s">
        <v>166</v>
      </c>
      <c r="C36" s="39" t="s">
        <v>2700</v>
      </c>
      <c r="D36" s="39" t="s">
        <v>2701</v>
      </c>
      <c r="E36" s="39" t="s">
        <v>2702</v>
      </c>
      <c r="F36" s="39" t="s">
        <v>2703</v>
      </c>
      <c r="G36" s="39" t="s">
        <v>2705</v>
      </c>
      <c r="H36" s="39"/>
      <c r="I36" s="38" t="s">
        <v>1531</v>
      </c>
      <c r="J36" s="8" t="s">
        <v>121</v>
      </c>
      <c r="K36" s="8" t="s">
        <v>105</v>
      </c>
      <c r="L36" s="39"/>
      <c r="M36" s="39" t="s">
        <v>2706</v>
      </c>
      <c r="N36" s="28"/>
      <c r="O36" s="28"/>
      <c r="P36" s="28"/>
      <c r="Q36" s="28"/>
      <c r="R36" s="28"/>
      <c r="S36" s="28"/>
      <c r="T36" s="28"/>
      <c r="U36" s="28"/>
      <c r="V36" s="28"/>
      <c r="W36" s="28"/>
      <c r="X36" s="28"/>
      <c r="Y36" s="28"/>
      <c r="Z36" s="28"/>
    </row>
    <row r="37">
      <c r="A37" s="8" t="s">
        <v>2709</v>
      </c>
      <c r="B37" s="8" t="s">
        <v>166</v>
      </c>
      <c r="C37" s="39" t="s">
        <v>2710</v>
      </c>
      <c r="D37" s="39" t="s">
        <v>2711</v>
      </c>
      <c r="E37" s="39" t="s">
        <v>2712</v>
      </c>
      <c r="F37" s="39" t="s">
        <v>2713</v>
      </c>
      <c r="G37" s="39" t="s">
        <v>2714</v>
      </c>
      <c r="H37" s="39"/>
      <c r="I37" s="38" t="s">
        <v>1531</v>
      </c>
      <c r="J37" s="8" t="s">
        <v>427</v>
      </c>
      <c r="K37" s="8" t="s">
        <v>92</v>
      </c>
      <c r="L37" s="39"/>
      <c r="M37" s="39" t="s">
        <v>2715</v>
      </c>
      <c r="N37" s="28"/>
      <c r="O37" s="28"/>
      <c r="P37" s="28"/>
      <c r="Q37" s="28"/>
      <c r="R37" s="28"/>
      <c r="S37" s="28"/>
      <c r="T37" s="28"/>
      <c r="U37" s="28"/>
      <c r="V37" s="28"/>
      <c r="W37" s="28"/>
      <c r="X37" s="28"/>
      <c r="Y37" s="28"/>
      <c r="Z37" s="28"/>
    </row>
    <row r="38">
      <c r="A38" s="8" t="s">
        <v>2717</v>
      </c>
      <c r="B38" s="8" t="s">
        <v>166</v>
      </c>
      <c r="C38" s="39" t="s">
        <v>2718</v>
      </c>
      <c r="D38" s="39" t="s">
        <v>2719</v>
      </c>
      <c r="E38" s="39" t="s">
        <v>2720</v>
      </c>
      <c r="F38" s="39" t="s">
        <v>2721</v>
      </c>
      <c r="G38" s="39" t="s">
        <v>2722</v>
      </c>
      <c r="H38" s="39"/>
      <c r="I38" s="38" t="s">
        <v>1531</v>
      </c>
      <c r="J38" s="8" t="s">
        <v>105</v>
      </c>
      <c r="K38" s="8" t="s">
        <v>105</v>
      </c>
      <c r="L38" s="39"/>
      <c r="M38" s="39" t="s">
        <v>2723</v>
      </c>
      <c r="N38" s="28"/>
      <c r="O38" s="28"/>
      <c r="P38" s="28"/>
      <c r="Q38" s="28"/>
      <c r="R38" s="28"/>
      <c r="S38" s="28"/>
      <c r="T38" s="28"/>
      <c r="U38" s="28"/>
      <c r="V38" s="28"/>
      <c r="W38" s="28"/>
      <c r="X38" s="28"/>
      <c r="Y38" s="28"/>
      <c r="Z38" s="28"/>
    </row>
    <row r="39">
      <c r="A39" s="8" t="s">
        <v>2724</v>
      </c>
      <c r="B39" s="8" t="s">
        <v>166</v>
      </c>
      <c r="C39" s="39" t="s">
        <v>2725</v>
      </c>
      <c r="D39" s="39" t="s">
        <v>2726</v>
      </c>
      <c r="E39" s="39" t="s">
        <v>2727</v>
      </c>
      <c r="F39" s="39" t="s">
        <v>2728</v>
      </c>
      <c r="G39" s="39" t="s">
        <v>2729</v>
      </c>
      <c r="H39" s="39"/>
      <c r="I39" s="38" t="s">
        <v>1531</v>
      </c>
      <c r="J39" s="8" t="s">
        <v>105</v>
      </c>
      <c r="K39" s="8" t="s">
        <v>105</v>
      </c>
      <c r="L39" s="39"/>
      <c r="M39" s="39" t="s">
        <v>2730</v>
      </c>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sheetData>
  <mergeCells count="4">
    <mergeCell ref="B18:H18"/>
    <mergeCell ref="I18:M18"/>
    <mergeCell ref="B29:H29"/>
    <mergeCell ref="I29:M29"/>
  </mergeCells>
  <dataValidations>
    <dataValidation type="list" allowBlank="1" showErrorMessage="1" sqref="J3:K17 J19:K28 J30:K39">
      <formula1>"High,Medium,Low,N/A,Critical"</formula1>
    </dataValidation>
    <dataValidation type="list" allowBlank="1" showErrorMessage="1" sqref="I3:I39">
      <formula1>"Pass,Fail,Not Tested,Fixed"</formula1>
    </dataValidation>
  </dataValidations>
  <hyperlinks>
    <hyperlink display="&lt;&lt;&lt;TestScenario" location="TestScenario!A1" ref="A1"/>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0.88"/>
    <col customWidth="1" min="3" max="3" width="20.75"/>
  </cols>
  <sheetData>
    <row r="1">
      <c r="A1" s="2" t="s">
        <v>0</v>
      </c>
      <c r="B1" s="2" t="s">
        <v>2434</v>
      </c>
      <c r="C1" s="59"/>
    </row>
    <row r="2">
      <c r="A2" s="86" t="s">
        <v>13</v>
      </c>
    </row>
    <row r="3">
      <c r="A3" s="2" t="s">
        <v>2440</v>
      </c>
    </row>
    <row r="15">
      <c r="A15" s="2" t="s">
        <v>2441</v>
      </c>
    </row>
  </sheetData>
  <hyperlinks>
    <hyperlink display="&lt;&lt;&lt;TestScenario" location="TestScenario!A1" ref="A1"/>
    <hyperlink display="&lt;&lt;&lt;AuthAPITestScenario" location="AuthAPI!A1" ref="B1"/>
    <hyperlink display="&lt;&lt;&lt;APITestScenario" location="APIFunctionality!A1" ref="A2"/>
    <hyperlink display="&lt;&lt;&lt;API-UPLOAD-FILE-006" location="FileAPI!A9:O9" ref="A3"/>
    <hyperlink display="&lt;&lt;&lt;API-UPLOAD-FILE-013" location="FileAPI!A16:N16" ref="A15"/>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6.63"/>
    <col customWidth="1" min="3" max="3" width="33.13"/>
    <col customWidth="1" min="4" max="4" width="18.5"/>
    <col customWidth="1" min="5" max="5" width="33.75"/>
    <col customWidth="1" min="6" max="6" width="38.25"/>
    <col customWidth="1" min="7" max="7" width="29.38"/>
    <col customWidth="1" min="8" max="8" width="30.13"/>
    <col customWidth="1" min="9" max="9" width="34.63"/>
    <col customWidth="1" min="10" max="10" width="27.38"/>
    <col customWidth="1" min="11" max="11" width="20.5"/>
    <col customWidth="1" min="12" max="12" width="18.25"/>
    <col customWidth="1" min="13" max="14" width="19.13"/>
    <col customWidth="1" min="15" max="15" width="23.75"/>
  </cols>
  <sheetData>
    <row r="1">
      <c r="A1" s="22" t="s">
        <v>0</v>
      </c>
      <c r="B1" s="22" t="s">
        <v>13</v>
      </c>
      <c r="C1" s="22" t="s">
        <v>2434</v>
      </c>
      <c r="D1" s="26"/>
      <c r="E1" s="28"/>
      <c r="F1" s="28"/>
      <c r="G1" s="28"/>
      <c r="H1" s="28"/>
      <c r="I1" s="28"/>
      <c r="J1" s="28"/>
      <c r="K1" s="28"/>
      <c r="L1" s="28"/>
      <c r="M1" s="28"/>
      <c r="N1" s="28"/>
      <c r="O1" s="28"/>
      <c r="P1" s="28"/>
      <c r="Q1" s="28"/>
      <c r="R1" s="28"/>
      <c r="S1" s="28"/>
      <c r="T1" s="28"/>
      <c r="U1" s="28"/>
      <c r="V1" s="28"/>
      <c r="W1" s="28"/>
      <c r="X1" s="28"/>
      <c r="Y1" s="28"/>
      <c r="Z1" s="28"/>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c r="P2" s="87"/>
      <c r="Q2" s="87"/>
      <c r="R2" s="87"/>
      <c r="S2" s="87"/>
      <c r="T2" s="87"/>
      <c r="U2" s="87"/>
      <c r="V2" s="87"/>
      <c r="W2" s="87"/>
      <c r="X2" s="87"/>
      <c r="Y2" s="87"/>
      <c r="Z2" s="87"/>
    </row>
    <row r="3" ht="34.5" customHeight="1">
      <c r="A3" s="48"/>
      <c r="B3" s="44" t="s">
        <v>2476</v>
      </c>
      <c r="C3" s="23"/>
      <c r="D3" s="23"/>
      <c r="E3" s="23"/>
      <c r="F3" s="23"/>
      <c r="G3" s="23"/>
      <c r="H3" s="23"/>
      <c r="I3" s="23"/>
      <c r="J3" s="24"/>
      <c r="K3" s="69"/>
      <c r="L3" s="23"/>
      <c r="M3" s="23"/>
      <c r="N3" s="23"/>
      <c r="O3" s="24"/>
      <c r="P3" s="28"/>
      <c r="Q3" s="28"/>
      <c r="R3" s="28"/>
      <c r="S3" s="28"/>
      <c r="T3" s="28"/>
      <c r="U3" s="28"/>
      <c r="V3" s="28"/>
      <c r="W3" s="28"/>
      <c r="X3" s="28"/>
      <c r="Y3" s="28"/>
      <c r="Z3" s="28"/>
    </row>
    <row r="4">
      <c r="A4" s="38" t="s">
        <v>2484</v>
      </c>
      <c r="B4" s="38" t="s">
        <v>46</v>
      </c>
      <c r="C4" s="9" t="s">
        <v>2486</v>
      </c>
      <c r="D4" s="8" t="s">
        <v>1388</v>
      </c>
      <c r="E4" s="9" t="s">
        <v>2489</v>
      </c>
      <c r="F4" s="9" t="s">
        <v>2490</v>
      </c>
      <c r="G4" s="9" t="s">
        <v>2491</v>
      </c>
      <c r="H4" s="9" t="s">
        <v>2493</v>
      </c>
      <c r="I4" s="9" t="s">
        <v>2495</v>
      </c>
      <c r="J4" s="50" t="s">
        <v>1063</v>
      </c>
      <c r="K4" s="38" t="s">
        <v>91</v>
      </c>
      <c r="L4" s="38" t="s">
        <v>127</v>
      </c>
      <c r="M4" s="38" t="s">
        <v>127</v>
      </c>
      <c r="N4" s="47"/>
      <c r="O4" s="47"/>
      <c r="P4" s="28"/>
      <c r="Q4" s="28"/>
      <c r="R4" s="28"/>
      <c r="S4" s="28"/>
      <c r="T4" s="28"/>
      <c r="U4" s="28"/>
      <c r="V4" s="28"/>
      <c r="W4" s="28"/>
      <c r="X4" s="28"/>
      <c r="Y4" s="28"/>
      <c r="Z4" s="28"/>
    </row>
    <row r="5">
      <c r="A5" s="38" t="s">
        <v>2500</v>
      </c>
      <c r="B5" s="38" t="s">
        <v>46</v>
      </c>
      <c r="C5" s="9" t="s">
        <v>2502</v>
      </c>
      <c r="D5" s="8" t="s">
        <v>1388</v>
      </c>
      <c r="E5" s="9" t="s">
        <v>2489</v>
      </c>
      <c r="F5" s="9" t="s">
        <v>2504</v>
      </c>
      <c r="G5" s="9" t="s">
        <v>2507</v>
      </c>
      <c r="H5" s="9" t="s">
        <v>2493</v>
      </c>
      <c r="I5" s="9" t="s">
        <v>2509</v>
      </c>
      <c r="J5" s="45" t="s">
        <v>2510</v>
      </c>
      <c r="K5" s="38" t="s">
        <v>91</v>
      </c>
      <c r="L5" s="38" t="s">
        <v>127</v>
      </c>
      <c r="M5" s="38" t="s">
        <v>127</v>
      </c>
      <c r="N5" s="64"/>
      <c r="O5" s="64"/>
      <c r="P5" s="28"/>
      <c r="Q5" s="28"/>
      <c r="R5" s="28"/>
      <c r="S5" s="28"/>
      <c r="T5" s="28"/>
      <c r="U5" s="28"/>
      <c r="V5" s="28"/>
      <c r="W5" s="28"/>
      <c r="X5" s="28"/>
      <c r="Y5" s="28"/>
      <c r="Z5" s="28"/>
    </row>
    <row r="6">
      <c r="A6" s="38" t="s">
        <v>2514</v>
      </c>
      <c r="B6" s="38" t="s">
        <v>46</v>
      </c>
      <c r="C6" s="9" t="s">
        <v>2516</v>
      </c>
      <c r="D6" s="8" t="s">
        <v>1388</v>
      </c>
      <c r="E6" s="9" t="s">
        <v>2489</v>
      </c>
      <c r="F6" s="9" t="s">
        <v>2518</v>
      </c>
      <c r="G6" s="9" t="s">
        <v>2507</v>
      </c>
      <c r="H6" s="9" t="s">
        <v>2493</v>
      </c>
      <c r="I6" s="9" t="s">
        <v>2509</v>
      </c>
      <c r="J6" s="45" t="s">
        <v>2519</v>
      </c>
      <c r="K6" s="38" t="s">
        <v>91</v>
      </c>
      <c r="L6" s="38" t="s">
        <v>127</v>
      </c>
      <c r="M6" s="38" t="s">
        <v>127</v>
      </c>
      <c r="N6" s="64"/>
      <c r="O6" s="64"/>
      <c r="P6" s="28"/>
      <c r="Q6" s="28"/>
      <c r="R6" s="28"/>
      <c r="S6" s="28"/>
      <c r="T6" s="28"/>
      <c r="U6" s="28"/>
      <c r="V6" s="28"/>
      <c r="W6" s="28"/>
      <c r="X6" s="28"/>
      <c r="Y6" s="28"/>
      <c r="Z6" s="28"/>
    </row>
    <row r="7">
      <c r="A7" s="38" t="s">
        <v>2522</v>
      </c>
      <c r="B7" s="38" t="s">
        <v>46</v>
      </c>
      <c r="C7" s="9" t="s">
        <v>2524</v>
      </c>
      <c r="D7" s="8" t="s">
        <v>1388</v>
      </c>
      <c r="E7" s="9" t="s">
        <v>2489</v>
      </c>
      <c r="F7" s="9" t="s">
        <v>2526</v>
      </c>
      <c r="G7" s="9" t="s">
        <v>2507</v>
      </c>
      <c r="H7" s="9" t="s">
        <v>2493</v>
      </c>
      <c r="I7" s="9" t="s">
        <v>2509</v>
      </c>
      <c r="J7" s="45" t="s">
        <v>2529</v>
      </c>
      <c r="K7" s="38" t="s">
        <v>91</v>
      </c>
      <c r="L7" s="38" t="s">
        <v>127</v>
      </c>
      <c r="M7" s="38" t="s">
        <v>127</v>
      </c>
      <c r="N7" s="64"/>
      <c r="O7" s="64"/>
      <c r="P7" s="28"/>
      <c r="Q7" s="28"/>
      <c r="R7" s="28"/>
      <c r="S7" s="28"/>
      <c r="T7" s="28"/>
      <c r="U7" s="28"/>
      <c r="V7" s="28"/>
      <c r="W7" s="28"/>
      <c r="X7" s="28"/>
      <c r="Y7" s="28"/>
      <c r="Z7" s="28"/>
    </row>
    <row r="8">
      <c r="A8" s="38" t="s">
        <v>2532</v>
      </c>
      <c r="B8" s="38" t="s">
        <v>46</v>
      </c>
      <c r="C8" s="9" t="s">
        <v>2535</v>
      </c>
      <c r="D8" s="8" t="s">
        <v>1388</v>
      </c>
      <c r="E8" s="9" t="s">
        <v>2489</v>
      </c>
      <c r="F8" s="9" t="s">
        <v>2537</v>
      </c>
      <c r="G8" s="9" t="s">
        <v>2507</v>
      </c>
      <c r="H8" s="9" t="s">
        <v>2493</v>
      </c>
      <c r="I8" s="9" t="s">
        <v>2509</v>
      </c>
      <c r="J8" s="45" t="s">
        <v>2538</v>
      </c>
      <c r="K8" s="38" t="s">
        <v>91</v>
      </c>
      <c r="L8" s="38" t="s">
        <v>127</v>
      </c>
      <c r="M8" s="38" t="s">
        <v>127</v>
      </c>
      <c r="N8" s="64"/>
      <c r="O8" s="64"/>
      <c r="P8" s="28"/>
      <c r="Q8" s="28"/>
      <c r="R8" s="28"/>
      <c r="S8" s="28"/>
      <c r="T8" s="28"/>
      <c r="U8" s="28"/>
      <c r="V8" s="28"/>
      <c r="W8" s="28"/>
      <c r="X8" s="28"/>
      <c r="Y8" s="28"/>
      <c r="Z8" s="28"/>
    </row>
    <row r="9">
      <c r="A9" s="38" t="s">
        <v>2540</v>
      </c>
      <c r="B9" s="38" t="s">
        <v>46</v>
      </c>
      <c r="C9" s="9" t="s">
        <v>2542</v>
      </c>
      <c r="D9" s="8" t="s">
        <v>1388</v>
      </c>
      <c r="E9" s="9" t="s">
        <v>2489</v>
      </c>
      <c r="F9" s="9" t="s">
        <v>333</v>
      </c>
      <c r="G9" s="9" t="s">
        <v>2543</v>
      </c>
      <c r="H9" s="9" t="s">
        <v>2493</v>
      </c>
      <c r="I9" s="9" t="s">
        <v>197</v>
      </c>
      <c r="J9" s="45" t="s">
        <v>1063</v>
      </c>
      <c r="K9" s="38" t="s">
        <v>91</v>
      </c>
      <c r="L9" s="38" t="s">
        <v>127</v>
      </c>
      <c r="M9" s="38" t="s">
        <v>127</v>
      </c>
      <c r="N9" s="64"/>
      <c r="O9" s="64"/>
      <c r="P9" s="28"/>
      <c r="Q9" s="28"/>
      <c r="R9" s="28"/>
      <c r="S9" s="28"/>
      <c r="T9" s="28"/>
      <c r="U9" s="28"/>
      <c r="V9" s="28"/>
      <c r="W9" s="28"/>
      <c r="X9" s="28"/>
      <c r="Y9" s="28"/>
      <c r="Z9" s="28"/>
    </row>
    <row r="10">
      <c r="A10" s="38" t="s">
        <v>2546</v>
      </c>
      <c r="B10" s="38" t="s">
        <v>46</v>
      </c>
      <c r="C10" s="9" t="s">
        <v>2548</v>
      </c>
      <c r="D10" s="8" t="s">
        <v>1388</v>
      </c>
      <c r="E10" s="9" t="s">
        <v>2489</v>
      </c>
      <c r="F10" s="9" t="s">
        <v>333</v>
      </c>
      <c r="G10" s="9" t="s">
        <v>2550</v>
      </c>
      <c r="H10" s="9" t="s">
        <v>2493</v>
      </c>
      <c r="I10" s="9" t="s">
        <v>2551</v>
      </c>
      <c r="J10" s="45" t="s">
        <v>262</v>
      </c>
      <c r="K10" s="38" t="s">
        <v>172</v>
      </c>
      <c r="L10" s="38" t="s">
        <v>127</v>
      </c>
      <c r="M10" s="38" t="s">
        <v>127</v>
      </c>
      <c r="N10" s="64"/>
      <c r="O10" s="64"/>
      <c r="P10" s="28"/>
      <c r="Q10" s="28"/>
      <c r="R10" s="28"/>
      <c r="S10" s="28"/>
      <c r="T10" s="28"/>
      <c r="U10" s="28"/>
      <c r="V10" s="28"/>
      <c r="W10" s="28"/>
      <c r="X10" s="28"/>
      <c r="Y10" s="28"/>
      <c r="Z10" s="28"/>
    </row>
    <row r="11">
      <c r="A11" s="38" t="s">
        <v>2554</v>
      </c>
      <c r="B11" s="38" t="s">
        <v>46</v>
      </c>
      <c r="C11" s="9" t="s">
        <v>2555</v>
      </c>
      <c r="D11" s="8" t="s">
        <v>1388</v>
      </c>
      <c r="E11" s="9" t="s">
        <v>2489</v>
      </c>
      <c r="F11" s="9" t="s">
        <v>433</v>
      </c>
      <c r="G11" s="9" t="s">
        <v>2507</v>
      </c>
      <c r="H11" s="9" t="s">
        <v>2493</v>
      </c>
      <c r="I11" s="9" t="s">
        <v>2509</v>
      </c>
      <c r="J11" s="45" t="s">
        <v>2560</v>
      </c>
      <c r="K11" s="38" t="s">
        <v>91</v>
      </c>
      <c r="L11" s="38" t="s">
        <v>127</v>
      </c>
      <c r="M11" s="38" t="s">
        <v>127</v>
      </c>
      <c r="N11" s="64"/>
      <c r="O11" s="64"/>
      <c r="P11" s="28"/>
      <c r="Q11" s="28"/>
      <c r="R11" s="28"/>
      <c r="S11" s="28"/>
      <c r="T11" s="28"/>
      <c r="U11" s="28"/>
      <c r="V11" s="28"/>
      <c r="W11" s="28"/>
      <c r="X11" s="28"/>
      <c r="Y11" s="28"/>
      <c r="Z11" s="28"/>
    </row>
    <row r="12">
      <c r="A12" s="38" t="s">
        <v>2563</v>
      </c>
      <c r="B12" s="38" t="s">
        <v>46</v>
      </c>
      <c r="C12" s="9" t="s">
        <v>2566</v>
      </c>
      <c r="D12" s="8" t="s">
        <v>1388</v>
      </c>
      <c r="E12" s="9" t="s">
        <v>2489</v>
      </c>
      <c r="F12" s="9" t="s">
        <v>2568</v>
      </c>
      <c r="G12" s="9" t="s">
        <v>2507</v>
      </c>
      <c r="H12" s="9" t="s">
        <v>2493</v>
      </c>
      <c r="I12" s="9" t="s">
        <v>2509</v>
      </c>
      <c r="J12" s="45" t="s">
        <v>2560</v>
      </c>
      <c r="K12" s="38" t="s">
        <v>91</v>
      </c>
      <c r="L12" s="38" t="s">
        <v>127</v>
      </c>
      <c r="M12" s="38" t="s">
        <v>127</v>
      </c>
      <c r="N12" s="64"/>
      <c r="O12" s="64"/>
      <c r="P12" s="28"/>
      <c r="Q12" s="28"/>
      <c r="R12" s="28"/>
      <c r="S12" s="28"/>
      <c r="T12" s="28"/>
      <c r="U12" s="28"/>
      <c r="V12" s="28"/>
      <c r="W12" s="28"/>
      <c r="X12" s="28"/>
      <c r="Y12" s="28"/>
      <c r="Z12" s="28"/>
    </row>
    <row r="13">
      <c r="A13" s="38" t="s">
        <v>2573</v>
      </c>
      <c r="B13" s="38" t="s">
        <v>46</v>
      </c>
      <c r="C13" s="9" t="s">
        <v>2575</v>
      </c>
      <c r="D13" s="8" t="s">
        <v>1388</v>
      </c>
      <c r="E13" s="9" t="s">
        <v>2489</v>
      </c>
      <c r="F13" s="9" t="s">
        <v>2576</v>
      </c>
      <c r="G13" s="9" t="s">
        <v>2507</v>
      </c>
      <c r="H13" s="9" t="s">
        <v>2493</v>
      </c>
      <c r="I13" s="9" t="s">
        <v>2509</v>
      </c>
      <c r="J13" s="45" t="s">
        <v>2578</v>
      </c>
      <c r="K13" s="38" t="s">
        <v>91</v>
      </c>
      <c r="L13" s="38" t="s">
        <v>127</v>
      </c>
      <c r="M13" s="38" t="s">
        <v>127</v>
      </c>
      <c r="N13" s="64"/>
      <c r="O13" s="64"/>
      <c r="P13" s="28"/>
      <c r="Q13" s="28"/>
      <c r="R13" s="28"/>
      <c r="S13" s="28"/>
      <c r="T13" s="28"/>
      <c r="U13" s="28"/>
      <c r="V13" s="28"/>
      <c r="W13" s="28"/>
      <c r="X13" s="28"/>
      <c r="Y13" s="28"/>
      <c r="Z13" s="28"/>
    </row>
    <row r="14">
      <c r="A14" s="38" t="s">
        <v>2584</v>
      </c>
      <c r="B14" s="38" t="s">
        <v>46</v>
      </c>
      <c r="C14" s="9" t="s">
        <v>2585</v>
      </c>
      <c r="D14" s="8" t="s">
        <v>1388</v>
      </c>
      <c r="E14" s="9" t="s">
        <v>2489</v>
      </c>
      <c r="F14" s="9" t="s">
        <v>333</v>
      </c>
      <c r="G14" s="9" t="s">
        <v>233</v>
      </c>
      <c r="H14" s="9" t="s">
        <v>2493</v>
      </c>
      <c r="I14" s="9" t="s">
        <v>197</v>
      </c>
      <c r="J14" s="45" t="s">
        <v>144</v>
      </c>
      <c r="K14" s="38" t="s">
        <v>91</v>
      </c>
      <c r="L14" s="38" t="s">
        <v>127</v>
      </c>
      <c r="M14" s="38" t="s">
        <v>127</v>
      </c>
      <c r="N14" s="64"/>
      <c r="O14" s="64"/>
      <c r="P14" s="28"/>
      <c r="Q14" s="28"/>
      <c r="R14" s="28"/>
      <c r="S14" s="28"/>
      <c r="T14" s="28"/>
      <c r="U14" s="28"/>
      <c r="V14" s="28"/>
      <c r="W14" s="28"/>
      <c r="X14" s="28"/>
      <c r="Y14" s="28"/>
      <c r="Z14" s="28"/>
    </row>
    <row r="15">
      <c r="A15" s="38" t="s">
        <v>2591</v>
      </c>
      <c r="B15" s="38" t="s">
        <v>46</v>
      </c>
      <c r="C15" s="9" t="s">
        <v>2592</v>
      </c>
      <c r="D15" s="8" t="s">
        <v>1388</v>
      </c>
      <c r="E15" s="9" t="s">
        <v>2489</v>
      </c>
      <c r="F15" s="9" t="s">
        <v>2593</v>
      </c>
      <c r="G15" s="9" t="s">
        <v>2507</v>
      </c>
      <c r="H15" s="9" t="s">
        <v>2493</v>
      </c>
      <c r="I15" s="9" t="s">
        <v>2594</v>
      </c>
      <c r="J15" s="45" t="s">
        <v>144</v>
      </c>
      <c r="K15" s="38" t="s">
        <v>91</v>
      </c>
      <c r="L15" s="38" t="s">
        <v>127</v>
      </c>
      <c r="M15" s="38" t="s">
        <v>127</v>
      </c>
      <c r="N15" s="64"/>
      <c r="O15" s="64"/>
      <c r="P15" s="28"/>
      <c r="Q15" s="28"/>
      <c r="R15" s="28"/>
      <c r="S15" s="28"/>
      <c r="T15" s="28"/>
      <c r="U15" s="28"/>
      <c r="V15" s="28"/>
      <c r="W15" s="28"/>
      <c r="X15" s="28"/>
      <c r="Y15" s="28"/>
      <c r="Z15" s="28"/>
    </row>
    <row r="16">
      <c r="A16" s="38" t="s">
        <v>2597</v>
      </c>
      <c r="B16" s="38" t="s">
        <v>46</v>
      </c>
      <c r="C16" s="9" t="s">
        <v>2599</v>
      </c>
      <c r="D16" s="8" t="s">
        <v>1388</v>
      </c>
      <c r="E16" s="9" t="s">
        <v>2489</v>
      </c>
      <c r="F16" s="9" t="s">
        <v>2603</v>
      </c>
      <c r="G16" s="9" t="s">
        <v>2507</v>
      </c>
      <c r="H16" s="9" t="s">
        <v>2493</v>
      </c>
      <c r="I16" s="9" t="s">
        <v>2509</v>
      </c>
      <c r="J16" s="45" t="s">
        <v>2604</v>
      </c>
      <c r="K16" s="38" t="s">
        <v>91</v>
      </c>
      <c r="L16" s="38" t="s">
        <v>127</v>
      </c>
      <c r="M16" s="38" t="s">
        <v>127</v>
      </c>
      <c r="N16" s="64"/>
      <c r="O16" s="64"/>
      <c r="P16" s="28"/>
      <c r="Q16" s="28"/>
      <c r="R16" s="28"/>
      <c r="S16" s="28"/>
      <c r="T16" s="28"/>
      <c r="U16" s="28"/>
      <c r="V16" s="28"/>
      <c r="W16" s="28"/>
      <c r="X16" s="28"/>
      <c r="Y16" s="28"/>
      <c r="Z16" s="28"/>
    </row>
    <row r="17">
      <c r="A17" s="38" t="s">
        <v>2606</v>
      </c>
      <c r="B17" s="38" t="s">
        <v>46</v>
      </c>
      <c r="C17" s="9" t="s">
        <v>2607</v>
      </c>
      <c r="D17" s="8" t="s">
        <v>1388</v>
      </c>
      <c r="E17" s="9" t="s">
        <v>2489</v>
      </c>
      <c r="F17" s="9" t="s">
        <v>2609</v>
      </c>
      <c r="G17" s="9" t="s">
        <v>2507</v>
      </c>
      <c r="H17" s="9" t="s">
        <v>2493</v>
      </c>
      <c r="I17" s="9" t="s">
        <v>2509</v>
      </c>
      <c r="J17" s="45" t="s">
        <v>2612</v>
      </c>
      <c r="K17" s="38" t="s">
        <v>172</v>
      </c>
      <c r="L17" s="38" t="s">
        <v>127</v>
      </c>
      <c r="M17" s="38" t="s">
        <v>127</v>
      </c>
      <c r="N17" s="64"/>
      <c r="O17" s="64"/>
      <c r="P17" s="28"/>
      <c r="Q17" s="28"/>
      <c r="R17" s="28"/>
      <c r="S17" s="28"/>
      <c r="T17" s="28"/>
      <c r="U17" s="28"/>
      <c r="V17" s="28"/>
      <c r="W17" s="28"/>
      <c r="X17" s="28"/>
      <c r="Y17" s="28"/>
      <c r="Z17" s="28"/>
    </row>
    <row r="18">
      <c r="A18" s="38" t="s">
        <v>2615</v>
      </c>
      <c r="B18" s="38" t="s">
        <v>46</v>
      </c>
      <c r="C18" s="9" t="s">
        <v>2616</v>
      </c>
      <c r="D18" s="8" t="s">
        <v>1388</v>
      </c>
      <c r="E18" s="9" t="s">
        <v>2489</v>
      </c>
      <c r="F18" s="9" t="s">
        <v>2618</v>
      </c>
      <c r="G18" s="9" t="s">
        <v>2507</v>
      </c>
      <c r="H18" s="9" t="s">
        <v>2493</v>
      </c>
      <c r="I18" s="9" t="s">
        <v>2619</v>
      </c>
      <c r="J18" s="64"/>
      <c r="K18" s="38" t="s">
        <v>172</v>
      </c>
      <c r="L18" s="38" t="s">
        <v>127</v>
      </c>
      <c r="M18" s="38" t="s">
        <v>127</v>
      </c>
      <c r="N18" s="64"/>
      <c r="O18" s="64"/>
      <c r="P18" s="28"/>
      <c r="Q18" s="28"/>
      <c r="R18" s="28"/>
      <c r="S18" s="28"/>
      <c r="T18" s="28"/>
      <c r="U18" s="28"/>
      <c r="V18" s="28"/>
      <c r="W18" s="28"/>
      <c r="X18" s="28"/>
      <c r="Y18" s="28"/>
      <c r="Z18" s="28"/>
    </row>
    <row r="19">
      <c r="A19" s="38" t="s">
        <v>2622</v>
      </c>
      <c r="B19" s="38" t="s">
        <v>46</v>
      </c>
      <c r="C19" s="9" t="s">
        <v>2625</v>
      </c>
      <c r="D19" s="8" t="s">
        <v>1388</v>
      </c>
      <c r="E19" s="9" t="s">
        <v>2489</v>
      </c>
      <c r="F19" s="9" t="s">
        <v>2626</v>
      </c>
      <c r="G19" s="9" t="s">
        <v>2507</v>
      </c>
      <c r="H19" s="9" t="s">
        <v>2493</v>
      </c>
      <c r="I19" s="9" t="s">
        <v>2619</v>
      </c>
      <c r="J19" s="64"/>
      <c r="K19" s="38" t="s">
        <v>172</v>
      </c>
      <c r="L19" s="38" t="s">
        <v>127</v>
      </c>
      <c r="M19" s="38" t="s">
        <v>127</v>
      </c>
      <c r="N19" s="64"/>
      <c r="O19" s="64"/>
      <c r="P19" s="28"/>
      <c r="Q19" s="28"/>
      <c r="R19" s="28"/>
      <c r="S19" s="28"/>
      <c r="T19" s="28"/>
      <c r="U19" s="28"/>
      <c r="V19" s="28"/>
      <c r="W19" s="28"/>
      <c r="X19" s="28"/>
      <c r="Y19" s="28"/>
      <c r="Z19" s="28"/>
    </row>
    <row r="20">
      <c r="A20" s="38" t="s">
        <v>2628</v>
      </c>
      <c r="B20" s="38" t="s">
        <v>46</v>
      </c>
      <c r="C20" s="9" t="s">
        <v>2631</v>
      </c>
      <c r="D20" s="8" t="s">
        <v>1388</v>
      </c>
      <c r="E20" s="9" t="s">
        <v>2489</v>
      </c>
      <c r="F20" s="9" t="s">
        <v>2635</v>
      </c>
      <c r="G20" s="9" t="s">
        <v>2507</v>
      </c>
      <c r="H20" s="9" t="s">
        <v>2493</v>
      </c>
      <c r="I20" s="9" t="s">
        <v>2636</v>
      </c>
      <c r="J20" s="45" t="s">
        <v>144</v>
      </c>
      <c r="K20" s="38" t="s">
        <v>91</v>
      </c>
      <c r="L20" s="38" t="s">
        <v>127</v>
      </c>
      <c r="M20" s="38" t="s">
        <v>127</v>
      </c>
      <c r="N20" s="64"/>
      <c r="O20" s="64"/>
      <c r="P20" s="28"/>
      <c r="Q20" s="28"/>
      <c r="R20" s="28"/>
      <c r="S20" s="28"/>
      <c r="T20" s="28"/>
      <c r="U20" s="28"/>
      <c r="V20" s="28"/>
      <c r="W20" s="28"/>
      <c r="X20" s="28"/>
      <c r="Y20" s="28"/>
      <c r="Z20" s="28"/>
    </row>
    <row r="21">
      <c r="A21" s="38" t="s">
        <v>2639</v>
      </c>
      <c r="B21" s="38" t="s">
        <v>46</v>
      </c>
      <c r="C21" s="9" t="s">
        <v>2640</v>
      </c>
      <c r="D21" s="8" t="s">
        <v>1388</v>
      </c>
      <c r="E21" s="9" t="s">
        <v>2489</v>
      </c>
      <c r="F21" s="9" t="s">
        <v>2641</v>
      </c>
      <c r="G21" s="9" t="s">
        <v>2507</v>
      </c>
      <c r="H21" s="9" t="s">
        <v>2493</v>
      </c>
      <c r="I21" s="9" t="s">
        <v>2509</v>
      </c>
      <c r="J21" s="64"/>
      <c r="K21" s="38" t="s">
        <v>172</v>
      </c>
      <c r="L21" s="38" t="s">
        <v>127</v>
      </c>
      <c r="M21" s="38" t="s">
        <v>127</v>
      </c>
      <c r="N21" s="64"/>
      <c r="O21" s="64"/>
      <c r="P21" s="28"/>
      <c r="Q21" s="28"/>
      <c r="R21" s="28"/>
      <c r="S21" s="28"/>
      <c r="T21" s="28"/>
      <c r="U21" s="28"/>
      <c r="V21" s="28"/>
      <c r="W21" s="28"/>
      <c r="X21" s="28"/>
      <c r="Y21" s="28"/>
      <c r="Z21" s="28"/>
    </row>
    <row r="22">
      <c r="A22" s="38" t="s">
        <v>2647</v>
      </c>
      <c r="B22" s="38" t="s">
        <v>46</v>
      </c>
      <c r="C22" s="9" t="s">
        <v>2649</v>
      </c>
      <c r="D22" s="8" t="s">
        <v>1388</v>
      </c>
      <c r="E22" s="9" t="s">
        <v>2489</v>
      </c>
      <c r="F22" s="9" t="s">
        <v>333</v>
      </c>
      <c r="G22" s="9" t="s">
        <v>2650</v>
      </c>
      <c r="H22" s="9" t="s">
        <v>2493</v>
      </c>
      <c r="I22" s="9" t="s">
        <v>2651</v>
      </c>
      <c r="J22" s="64"/>
      <c r="K22" s="38" t="s">
        <v>172</v>
      </c>
      <c r="L22" s="38" t="s">
        <v>127</v>
      </c>
      <c r="M22" s="38" t="s">
        <v>127</v>
      </c>
      <c r="N22" s="64"/>
      <c r="O22" s="64"/>
      <c r="P22" s="28"/>
      <c r="Q22" s="28"/>
      <c r="R22" s="28"/>
      <c r="S22" s="28"/>
      <c r="T22" s="28"/>
      <c r="U22" s="28"/>
      <c r="V22" s="28"/>
      <c r="W22" s="28"/>
      <c r="X22" s="28"/>
      <c r="Y22" s="28"/>
      <c r="Z22" s="28"/>
    </row>
    <row r="23">
      <c r="A23" s="38" t="s">
        <v>2656</v>
      </c>
      <c r="B23" s="38" t="s">
        <v>46</v>
      </c>
      <c r="C23" s="9" t="s">
        <v>2657</v>
      </c>
      <c r="D23" s="8" t="s">
        <v>84</v>
      </c>
      <c r="E23" s="9" t="s">
        <v>2489</v>
      </c>
      <c r="F23" s="9" t="s">
        <v>127</v>
      </c>
      <c r="G23" s="9" t="s">
        <v>2658</v>
      </c>
      <c r="H23" s="9" t="s">
        <v>236</v>
      </c>
      <c r="I23" s="9" t="s">
        <v>1313</v>
      </c>
      <c r="J23" s="64"/>
      <c r="K23" s="38" t="s">
        <v>172</v>
      </c>
      <c r="L23" s="38" t="s">
        <v>127</v>
      </c>
      <c r="M23" s="38" t="s">
        <v>127</v>
      </c>
      <c r="N23" s="64"/>
      <c r="O23" s="64"/>
      <c r="P23" s="28"/>
      <c r="Q23" s="28"/>
      <c r="R23" s="28"/>
      <c r="S23" s="28"/>
      <c r="T23" s="28"/>
      <c r="U23" s="28"/>
      <c r="V23" s="28"/>
      <c r="W23" s="28"/>
      <c r="X23" s="28"/>
      <c r="Y23" s="28"/>
      <c r="Z23" s="28"/>
    </row>
    <row r="24">
      <c r="A24" s="38" t="s">
        <v>2662</v>
      </c>
      <c r="B24" s="38" t="s">
        <v>46</v>
      </c>
      <c r="C24" s="9" t="s">
        <v>2664</v>
      </c>
      <c r="D24" s="8" t="s">
        <v>1388</v>
      </c>
      <c r="E24" s="9" t="s">
        <v>2489</v>
      </c>
      <c r="F24" s="9" t="s">
        <v>333</v>
      </c>
      <c r="G24" s="9" t="s">
        <v>2668</v>
      </c>
      <c r="H24" s="9" t="s">
        <v>2669</v>
      </c>
      <c r="I24" s="9" t="s">
        <v>2670</v>
      </c>
      <c r="J24" s="64"/>
      <c r="K24" s="38" t="s">
        <v>172</v>
      </c>
      <c r="L24" s="38" t="s">
        <v>127</v>
      </c>
      <c r="M24" s="38" t="s">
        <v>127</v>
      </c>
      <c r="N24" s="64"/>
      <c r="O24" s="64"/>
      <c r="P24" s="28"/>
      <c r="Q24" s="28"/>
      <c r="R24" s="28"/>
      <c r="S24" s="28"/>
      <c r="T24" s="28"/>
      <c r="U24" s="28"/>
      <c r="V24" s="28"/>
      <c r="W24" s="28"/>
      <c r="X24" s="28"/>
      <c r="Y24" s="28"/>
      <c r="Z24" s="28"/>
    </row>
    <row r="25">
      <c r="A25" s="38" t="s">
        <v>2674</v>
      </c>
      <c r="B25" s="38" t="s">
        <v>46</v>
      </c>
      <c r="C25" s="9" t="s">
        <v>2677</v>
      </c>
      <c r="D25" s="8" t="s">
        <v>1388</v>
      </c>
      <c r="E25" s="9" t="s">
        <v>2489</v>
      </c>
      <c r="F25" s="9" t="s">
        <v>333</v>
      </c>
      <c r="G25" s="9" t="s">
        <v>2507</v>
      </c>
      <c r="H25" s="9" t="s">
        <v>2493</v>
      </c>
      <c r="I25" s="9" t="s">
        <v>2679</v>
      </c>
      <c r="J25" s="64"/>
      <c r="K25" s="38" t="s">
        <v>172</v>
      </c>
      <c r="L25" s="38" t="s">
        <v>127</v>
      </c>
      <c r="M25" s="38" t="s">
        <v>127</v>
      </c>
      <c r="N25" s="64"/>
      <c r="O25" s="64"/>
      <c r="P25" s="28"/>
      <c r="Q25" s="28"/>
      <c r="R25" s="28"/>
      <c r="S25" s="28"/>
      <c r="T25" s="28"/>
      <c r="U25" s="28"/>
      <c r="V25" s="28"/>
      <c r="W25" s="28"/>
      <c r="X25" s="28"/>
      <c r="Y25" s="28"/>
      <c r="Z25" s="28"/>
    </row>
    <row r="26">
      <c r="A26" s="38" t="s">
        <v>2681</v>
      </c>
      <c r="B26" s="38" t="s">
        <v>46</v>
      </c>
      <c r="C26" s="9" t="s">
        <v>2682</v>
      </c>
      <c r="D26" s="8" t="s">
        <v>1388</v>
      </c>
      <c r="E26" s="9" t="s">
        <v>2489</v>
      </c>
      <c r="F26" s="9" t="s">
        <v>2684</v>
      </c>
      <c r="G26" s="9" t="s">
        <v>2507</v>
      </c>
      <c r="H26" s="9" t="s">
        <v>2493</v>
      </c>
      <c r="I26" s="9" t="s">
        <v>2686</v>
      </c>
      <c r="J26" s="64"/>
      <c r="K26" s="38" t="s">
        <v>172</v>
      </c>
      <c r="L26" s="38" t="s">
        <v>127</v>
      </c>
      <c r="M26" s="38" t="s">
        <v>127</v>
      </c>
      <c r="N26" s="64"/>
      <c r="O26" s="64"/>
      <c r="P26" s="28"/>
      <c r="Q26" s="28"/>
      <c r="R26" s="28"/>
      <c r="S26" s="28"/>
      <c r="T26" s="28"/>
      <c r="U26" s="28"/>
      <c r="V26" s="28"/>
      <c r="W26" s="28"/>
      <c r="X26" s="28"/>
      <c r="Y26" s="28"/>
      <c r="Z26" s="28"/>
    </row>
    <row r="27">
      <c r="A27" s="38" t="s">
        <v>2691</v>
      </c>
      <c r="B27" s="38" t="s">
        <v>46</v>
      </c>
      <c r="C27" s="9" t="s">
        <v>2664</v>
      </c>
      <c r="D27" s="8" t="s">
        <v>1388</v>
      </c>
      <c r="E27" s="9" t="s">
        <v>2489</v>
      </c>
      <c r="F27" s="9" t="s">
        <v>333</v>
      </c>
      <c r="G27" s="9" t="s">
        <v>2698</v>
      </c>
      <c r="H27" s="9" t="s">
        <v>2669</v>
      </c>
      <c r="I27" s="9" t="s">
        <v>2670</v>
      </c>
      <c r="J27" s="64"/>
      <c r="K27" s="38" t="s">
        <v>172</v>
      </c>
      <c r="L27" s="38" t="s">
        <v>127</v>
      </c>
      <c r="M27" s="38" t="s">
        <v>127</v>
      </c>
      <c r="N27" s="64"/>
      <c r="O27" s="64"/>
      <c r="P27" s="28"/>
      <c r="Q27" s="28"/>
      <c r="R27" s="28"/>
      <c r="S27" s="28"/>
      <c r="T27" s="28"/>
      <c r="U27" s="28"/>
      <c r="V27" s="28"/>
      <c r="W27" s="28"/>
      <c r="X27" s="28"/>
      <c r="Y27" s="28"/>
      <c r="Z27" s="28"/>
    </row>
    <row r="28">
      <c r="A28" s="38" t="s">
        <v>2704</v>
      </c>
      <c r="B28" s="38" t="s">
        <v>46</v>
      </c>
      <c r="C28" s="9" t="s">
        <v>2677</v>
      </c>
      <c r="D28" s="8" t="s">
        <v>1388</v>
      </c>
      <c r="E28" s="9" t="s">
        <v>2489</v>
      </c>
      <c r="F28" s="9" t="s">
        <v>333</v>
      </c>
      <c r="G28" s="9" t="s">
        <v>2507</v>
      </c>
      <c r="H28" s="9" t="s">
        <v>2707</v>
      </c>
      <c r="I28" s="9" t="s">
        <v>2708</v>
      </c>
      <c r="J28" s="64"/>
      <c r="K28" s="38" t="s">
        <v>172</v>
      </c>
      <c r="L28" s="38" t="s">
        <v>127</v>
      </c>
      <c r="M28" s="38" t="s">
        <v>127</v>
      </c>
      <c r="N28" s="64"/>
      <c r="O28" s="64"/>
      <c r="P28" s="28"/>
      <c r="Q28" s="28"/>
      <c r="R28" s="28"/>
      <c r="S28" s="28"/>
      <c r="T28" s="28"/>
      <c r="U28" s="28"/>
      <c r="V28" s="28"/>
      <c r="W28" s="28"/>
      <c r="X28" s="28"/>
      <c r="Y28" s="28"/>
      <c r="Z28" s="28"/>
    </row>
    <row r="29">
      <c r="A29" s="38" t="s">
        <v>2716</v>
      </c>
      <c r="B29" s="38" t="s">
        <v>46</v>
      </c>
      <c r="C29" s="9" t="s">
        <v>2682</v>
      </c>
      <c r="D29" s="8" t="s">
        <v>1388</v>
      </c>
      <c r="E29" s="9" t="s">
        <v>2489</v>
      </c>
      <c r="F29" s="9" t="s">
        <v>2684</v>
      </c>
      <c r="G29" s="9" t="s">
        <v>2507</v>
      </c>
      <c r="H29" s="9" t="s">
        <v>2707</v>
      </c>
      <c r="I29" s="9" t="s">
        <v>2686</v>
      </c>
      <c r="J29" s="64"/>
      <c r="K29" s="38" t="s">
        <v>172</v>
      </c>
      <c r="L29" s="38" t="s">
        <v>127</v>
      </c>
      <c r="M29" s="38" t="s">
        <v>127</v>
      </c>
      <c r="N29" s="64"/>
      <c r="O29" s="64"/>
      <c r="P29" s="28"/>
      <c r="Q29" s="28"/>
      <c r="R29" s="28"/>
      <c r="S29" s="28"/>
      <c r="T29" s="28"/>
      <c r="U29" s="28"/>
      <c r="V29" s="28"/>
      <c r="W29" s="28"/>
      <c r="X29" s="28"/>
      <c r="Y29" s="28"/>
      <c r="Z29" s="28"/>
    </row>
    <row r="30">
      <c r="A30" s="28"/>
      <c r="B30" s="28"/>
      <c r="C30" s="28"/>
      <c r="D30" s="26"/>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6"/>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6"/>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6"/>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6"/>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6"/>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6"/>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6"/>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6"/>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6"/>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6"/>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6"/>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6"/>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6"/>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6"/>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6"/>
      <c r="E45" s="28"/>
      <c r="H45" s="28"/>
      <c r="I45" s="28"/>
      <c r="J45" s="28"/>
      <c r="K45" s="28"/>
      <c r="L45" s="28"/>
      <c r="M45" s="28"/>
      <c r="N45" s="28"/>
      <c r="O45" s="28"/>
      <c r="P45" s="28"/>
      <c r="Q45" s="28"/>
      <c r="R45" s="28"/>
      <c r="S45" s="28"/>
      <c r="T45" s="28"/>
      <c r="U45" s="28"/>
      <c r="V45" s="28"/>
      <c r="W45" s="28"/>
      <c r="X45" s="28"/>
      <c r="Y45" s="28"/>
      <c r="Z45" s="28"/>
    </row>
    <row r="46">
      <c r="A46" s="28"/>
      <c r="B46" s="28"/>
      <c r="C46" s="28"/>
      <c r="D46" s="26"/>
      <c r="E46" s="28"/>
      <c r="H46" s="28"/>
      <c r="I46" s="28"/>
      <c r="J46" s="28"/>
      <c r="K46" s="28"/>
      <c r="L46" s="28"/>
      <c r="M46" s="28"/>
      <c r="N46" s="28"/>
      <c r="O46" s="28"/>
      <c r="P46" s="28"/>
      <c r="Q46" s="28"/>
      <c r="R46" s="28"/>
      <c r="S46" s="28"/>
      <c r="T46" s="28"/>
      <c r="U46" s="28"/>
      <c r="V46" s="28"/>
      <c r="W46" s="28"/>
      <c r="X46" s="28"/>
      <c r="Y46" s="28"/>
      <c r="Z46" s="28"/>
    </row>
    <row r="47">
      <c r="A47" s="28"/>
      <c r="B47" s="28"/>
      <c r="C47" s="28"/>
      <c r="D47" s="26"/>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6"/>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6"/>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6"/>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C54" s="28"/>
      <c r="D54" s="26"/>
      <c r="E54" s="28"/>
      <c r="F54" s="28"/>
      <c r="G54" s="28"/>
      <c r="H54" s="28"/>
      <c r="I54" s="28"/>
      <c r="J54" s="28"/>
      <c r="K54" s="28"/>
      <c r="L54" s="28"/>
      <c r="M54" s="28"/>
      <c r="N54" s="28"/>
      <c r="O54" s="28"/>
      <c r="P54" s="28"/>
      <c r="Q54" s="28"/>
      <c r="R54" s="28"/>
      <c r="S54" s="28"/>
      <c r="T54" s="28"/>
      <c r="U54" s="28"/>
      <c r="V54" s="28"/>
      <c r="W54" s="28"/>
      <c r="X54" s="28"/>
      <c r="Y54" s="28"/>
      <c r="Z54" s="28"/>
    </row>
    <row r="55">
      <c r="F55" s="28"/>
      <c r="G55" s="28"/>
      <c r="H55" s="28"/>
      <c r="I55" s="28"/>
      <c r="J55" s="28"/>
      <c r="K55" s="28"/>
      <c r="L55" s="28"/>
      <c r="M55" s="28"/>
      <c r="N55" s="28"/>
      <c r="O55" s="28"/>
      <c r="P55" s="28"/>
      <c r="Q55" s="28"/>
      <c r="R55" s="28"/>
      <c r="S55" s="28"/>
      <c r="T55" s="28"/>
      <c r="U55" s="28"/>
      <c r="V55" s="28"/>
      <c r="W55" s="28"/>
      <c r="X55" s="28"/>
      <c r="Y55" s="28"/>
      <c r="Z55" s="28"/>
    </row>
    <row r="56">
      <c r="F56" s="28"/>
      <c r="G56" s="28"/>
      <c r="H56" s="28"/>
      <c r="I56" s="28"/>
      <c r="J56" s="28"/>
      <c r="K56" s="28"/>
      <c r="L56" s="28"/>
      <c r="M56" s="28"/>
      <c r="N56" s="28"/>
      <c r="O56" s="28"/>
      <c r="P56" s="28"/>
      <c r="Q56" s="28"/>
      <c r="R56" s="28"/>
      <c r="S56" s="28"/>
      <c r="T56" s="28"/>
      <c r="U56" s="28"/>
      <c r="V56" s="28"/>
      <c r="W56" s="28"/>
      <c r="X56" s="28"/>
      <c r="Y56" s="28"/>
      <c r="Z56" s="28"/>
    </row>
    <row r="57">
      <c r="A57" s="28"/>
      <c r="F57" s="28"/>
      <c r="G57" s="28"/>
      <c r="H57" s="28"/>
      <c r="I57" s="28"/>
      <c r="J57" s="28"/>
      <c r="K57" s="28"/>
      <c r="L57" s="28"/>
      <c r="M57" s="28"/>
      <c r="N57" s="28"/>
      <c r="O57" s="28"/>
      <c r="P57" s="28"/>
      <c r="Q57" s="28"/>
      <c r="R57" s="28"/>
      <c r="S57" s="28"/>
      <c r="T57" s="28"/>
      <c r="U57" s="28"/>
      <c r="V57" s="28"/>
      <c r="W57" s="28"/>
      <c r="X57" s="28"/>
      <c r="Y57" s="28"/>
      <c r="Z57" s="28"/>
    </row>
    <row r="58">
      <c r="A58" s="28"/>
      <c r="B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6"/>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6"/>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6"/>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6"/>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6"/>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6"/>
      <c r="E64" s="28"/>
      <c r="F64" s="28"/>
      <c r="I64" s="28"/>
      <c r="J64" s="28"/>
      <c r="K64" s="28"/>
      <c r="L64" s="28"/>
      <c r="M64" s="28"/>
      <c r="N64" s="28"/>
      <c r="O64" s="28"/>
      <c r="P64" s="28"/>
      <c r="Q64" s="28"/>
      <c r="R64" s="28"/>
      <c r="S64" s="28"/>
      <c r="T64" s="28"/>
      <c r="U64" s="28"/>
      <c r="V64" s="28"/>
      <c r="W64" s="28"/>
      <c r="X64" s="28"/>
      <c r="Y64" s="28"/>
      <c r="Z64" s="28"/>
    </row>
    <row r="65">
      <c r="A65" s="28"/>
      <c r="B65" s="28"/>
      <c r="C65" s="28"/>
      <c r="D65" s="26"/>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6"/>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6"/>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6"/>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6"/>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6"/>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6"/>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6"/>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6"/>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6"/>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6"/>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6"/>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6"/>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6"/>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6"/>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6"/>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6"/>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6"/>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6"/>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6"/>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6"/>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6"/>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6"/>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6"/>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6"/>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6"/>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6"/>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6"/>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6"/>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6"/>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6"/>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6"/>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6"/>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6"/>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6"/>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6"/>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6"/>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6"/>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6"/>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6"/>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6"/>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6"/>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6"/>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6"/>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6"/>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6"/>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6"/>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6"/>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6"/>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6"/>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6"/>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6"/>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6"/>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6"/>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6"/>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6"/>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6"/>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6"/>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6"/>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6"/>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6"/>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6"/>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6"/>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6"/>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6"/>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6"/>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6"/>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6"/>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6"/>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6"/>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6"/>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6"/>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6"/>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6"/>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6"/>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6"/>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6"/>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6"/>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6"/>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6"/>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6"/>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6"/>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6"/>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6"/>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6"/>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6"/>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6"/>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6"/>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6"/>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6"/>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6"/>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6"/>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6"/>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6"/>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6"/>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6"/>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6"/>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6"/>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6"/>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6"/>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6"/>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6"/>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6"/>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6"/>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6"/>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6"/>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6"/>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6"/>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6"/>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6"/>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6"/>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6"/>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6"/>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6"/>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6"/>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6"/>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6"/>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6"/>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6"/>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6"/>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6"/>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6"/>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6"/>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6"/>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6"/>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6"/>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6"/>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6"/>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6"/>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6"/>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6"/>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6"/>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6"/>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6"/>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6"/>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6"/>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6"/>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6"/>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6"/>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6"/>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6"/>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6"/>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6"/>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6"/>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6"/>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6"/>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6"/>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6"/>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6"/>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6"/>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6"/>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6"/>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6"/>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6"/>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6"/>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6"/>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6"/>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6"/>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6"/>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6"/>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6"/>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6"/>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6"/>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6"/>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6"/>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6"/>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6"/>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6"/>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6"/>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6"/>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6"/>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6"/>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6"/>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6"/>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6"/>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6"/>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6"/>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6"/>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6"/>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6"/>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6"/>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6"/>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6"/>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6"/>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6"/>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6"/>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6"/>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6"/>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6"/>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6"/>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6"/>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6"/>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6"/>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6"/>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6"/>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6"/>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6"/>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6"/>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6"/>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6"/>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6"/>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6"/>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6"/>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6"/>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6"/>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6"/>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6"/>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6"/>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6"/>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6"/>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6"/>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6"/>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6"/>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6"/>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6"/>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6"/>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6"/>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6"/>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6"/>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6"/>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6"/>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6"/>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6"/>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6"/>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6"/>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6"/>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6"/>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6"/>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6"/>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6"/>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6"/>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6"/>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6"/>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6"/>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6"/>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6"/>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6"/>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6"/>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6"/>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6"/>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6"/>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6"/>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6"/>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6"/>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6"/>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6"/>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6"/>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6"/>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6"/>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6"/>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6"/>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6"/>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6"/>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6"/>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6"/>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6"/>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6"/>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6"/>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6"/>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6"/>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6"/>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6"/>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6"/>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6"/>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6"/>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6"/>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6"/>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6"/>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6"/>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6"/>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6"/>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6"/>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6"/>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6"/>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6"/>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6"/>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6"/>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6"/>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6"/>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6"/>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6"/>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6"/>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6"/>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6"/>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6"/>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6"/>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6"/>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6"/>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6"/>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6"/>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6"/>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6"/>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6"/>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6"/>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6"/>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6"/>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6"/>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6"/>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6"/>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6"/>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6"/>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6"/>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6"/>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6"/>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6"/>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6"/>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6"/>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6"/>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6"/>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6"/>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6"/>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6"/>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6"/>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6"/>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6"/>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6"/>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6"/>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6"/>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6"/>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6"/>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6"/>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6"/>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6"/>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6"/>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6"/>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6"/>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6"/>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6"/>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6"/>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6"/>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6"/>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6"/>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6"/>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6"/>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6"/>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6"/>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6"/>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6"/>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6"/>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6"/>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6"/>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6"/>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6"/>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6"/>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6"/>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6"/>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6"/>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6"/>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6"/>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6"/>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6"/>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6"/>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6"/>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6"/>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6"/>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6"/>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6"/>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6"/>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6"/>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6"/>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6"/>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6"/>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6"/>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6"/>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6"/>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6"/>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6"/>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6"/>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6"/>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6"/>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6"/>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6"/>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6"/>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6"/>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6"/>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6"/>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6"/>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6"/>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6"/>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6"/>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6"/>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6"/>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6"/>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6"/>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6"/>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6"/>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6"/>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6"/>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6"/>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6"/>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6"/>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6"/>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6"/>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6"/>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6"/>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6"/>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6"/>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6"/>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6"/>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6"/>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6"/>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6"/>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6"/>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6"/>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6"/>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6"/>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6"/>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6"/>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6"/>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6"/>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6"/>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6"/>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6"/>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6"/>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6"/>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6"/>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6"/>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6"/>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6"/>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6"/>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6"/>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6"/>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6"/>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6"/>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6"/>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6"/>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6"/>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6"/>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6"/>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6"/>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6"/>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6"/>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6"/>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6"/>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6"/>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6"/>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6"/>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6"/>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6"/>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6"/>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6"/>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6"/>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6"/>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6"/>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6"/>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6"/>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6"/>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6"/>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6"/>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6"/>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6"/>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6"/>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6"/>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6"/>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6"/>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6"/>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6"/>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6"/>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6"/>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6"/>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6"/>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6"/>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6"/>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6"/>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6"/>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6"/>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6"/>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6"/>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6"/>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6"/>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6"/>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6"/>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6"/>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6"/>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6"/>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6"/>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6"/>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6"/>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6"/>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6"/>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6"/>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6"/>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6"/>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6"/>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6"/>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6"/>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6"/>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6"/>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6"/>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6"/>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6"/>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6"/>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6"/>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6"/>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6"/>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6"/>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6"/>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6"/>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6"/>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6"/>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6"/>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6"/>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6"/>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6"/>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6"/>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6"/>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6"/>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6"/>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6"/>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6"/>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6"/>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6"/>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6"/>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6"/>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6"/>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6"/>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6"/>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6"/>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6"/>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6"/>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6"/>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6"/>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6"/>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6"/>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6"/>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6"/>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6"/>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6"/>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6"/>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6"/>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6"/>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6"/>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6"/>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6"/>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6"/>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6"/>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6"/>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6"/>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6"/>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6"/>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6"/>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6"/>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6"/>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6"/>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6"/>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6"/>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6"/>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6"/>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6"/>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6"/>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6"/>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6"/>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6"/>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6"/>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6"/>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6"/>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6"/>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6"/>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6"/>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6"/>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6"/>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6"/>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6"/>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6"/>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6"/>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6"/>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6"/>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6"/>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6"/>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6"/>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6"/>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6"/>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6"/>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6"/>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6"/>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6"/>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6"/>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6"/>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6"/>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6"/>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6"/>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6"/>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6"/>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6"/>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6"/>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6"/>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6"/>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6"/>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6"/>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6"/>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6"/>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6"/>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6"/>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6"/>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6"/>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6"/>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6"/>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6"/>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6"/>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6"/>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6"/>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6"/>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6"/>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6"/>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6"/>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6"/>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6"/>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6"/>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6"/>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6"/>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6"/>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6"/>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6"/>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6"/>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6"/>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6"/>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6"/>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6"/>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6"/>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6"/>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6"/>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6"/>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6"/>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6"/>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6"/>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6"/>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6"/>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6"/>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6"/>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6"/>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6"/>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6"/>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6"/>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6"/>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6"/>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6"/>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6"/>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6"/>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6"/>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6"/>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6"/>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6"/>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6"/>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6"/>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6"/>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6"/>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6"/>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6"/>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6"/>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6"/>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6"/>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6"/>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6"/>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6"/>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6"/>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6"/>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6"/>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6"/>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6"/>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6"/>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6"/>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6"/>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6"/>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6"/>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6"/>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6"/>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6"/>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6"/>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6"/>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6"/>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6"/>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6"/>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6"/>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6"/>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6"/>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6"/>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6"/>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6"/>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6"/>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6"/>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6"/>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6"/>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6"/>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6"/>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6"/>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6"/>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6"/>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6"/>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6"/>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6"/>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6"/>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6"/>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6"/>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6"/>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6"/>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6"/>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6"/>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6"/>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6"/>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6"/>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6"/>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6"/>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6"/>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6"/>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6"/>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6"/>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6"/>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6"/>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6"/>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6"/>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6"/>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6"/>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6"/>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6"/>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6"/>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6"/>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6"/>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6"/>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6"/>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6"/>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6"/>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6"/>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6"/>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6"/>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6"/>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6"/>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6"/>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6"/>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6"/>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6"/>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6"/>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6"/>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6"/>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6"/>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6"/>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6"/>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6"/>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6"/>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6"/>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6"/>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6"/>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6"/>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6"/>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6"/>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6"/>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6"/>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6"/>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6"/>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6"/>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6"/>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6"/>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6"/>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6"/>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6"/>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6"/>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6"/>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6"/>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6"/>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6"/>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6"/>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6"/>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6"/>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6"/>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6"/>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6"/>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6"/>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6"/>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6"/>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6"/>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6"/>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6"/>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6"/>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6"/>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6"/>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6"/>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6"/>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6"/>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6"/>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6"/>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6"/>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6"/>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6"/>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6"/>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6"/>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6"/>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6"/>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6"/>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6"/>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6"/>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6"/>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6"/>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6"/>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6"/>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6"/>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6"/>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6"/>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6"/>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6"/>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6"/>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6"/>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6"/>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6"/>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6"/>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6"/>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6"/>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6"/>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6"/>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6"/>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6"/>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6"/>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6"/>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6"/>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6"/>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6"/>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6"/>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6"/>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6"/>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6"/>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6"/>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6"/>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6"/>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6"/>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6"/>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6"/>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6"/>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6"/>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6"/>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6"/>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6"/>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6"/>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6"/>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6"/>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6"/>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6"/>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6"/>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6"/>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6"/>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6"/>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6"/>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6"/>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6"/>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6"/>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6"/>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6"/>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6"/>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6"/>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6"/>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6"/>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6"/>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6"/>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6"/>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6"/>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6"/>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6"/>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6"/>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6"/>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6"/>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6"/>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6"/>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6"/>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6"/>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6"/>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6"/>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6"/>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6"/>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6"/>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6"/>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6"/>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6"/>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6"/>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6"/>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6"/>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6"/>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6"/>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6"/>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6"/>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6"/>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6"/>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6"/>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6"/>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6"/>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6"/>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6"/>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6"/>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6"/>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6"/>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6"/>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6"/>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6"/>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6"/>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6"/>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6"/>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6"/>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6"/>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6"/>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6"/>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6"/>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6"/>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6"/>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6"/>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6"/>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6"/>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6"/>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6"/>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6"/>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6"/>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6"/>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6"/>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6"/>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6"/>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6"/>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6"/>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6"/>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6"/>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6"/>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6"/>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6"/>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6"/>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6"/>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6"/>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6"/>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6"/>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6"/>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6"/>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6"/>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6"/>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6"/>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6"/>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6"/>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6"/>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6"/>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6"/>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6"/>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6"/>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6"/>
      <c r="E999" s="28"/>
      <c r="F999" s="28"/>
      <c r="G999" s="28"/>
      <c r="H999" s="28"/>
      <c r="I999" s="28"/>
      <c r="J999" s="28"/>
      <c r="K999" s="28"/>
      <c r="L999" s="28"/>
      <c r="M999" s="28"/>
      <c r="N999" s="28"/>
      <c r="O999" s="28"/>
      <c r="P999" s="28"/>
      <c r="Q999" s="28"/>
      <c r="R999" s="28"/>
      <c r="S999" s="28"/>
      <c r="T999" s="28"/>
      <c r="U999" s="28"/>
      <c r="V999" s="28"/>
      <c r="W999" s="28"/>
      <c r="X999" s="28"/>
      <c r="Y999" s="28"/>
      <c r="Z999" s="28"/>
    </row>
  </sheetData>
  <mergeCells count="2">
    <mergeCell ref="B3:J3"/>
    <mergeCell ref="K3:O3"/>
  </mergeCells>
  <dataValidations>
    <dataValidation type="list" allowBlank="1" showErrorMessage="1" sqref="D4:D29">
      <formula1>"GET,POST,PATCH,DELETE,PUT"</formula1>
    </dataValidation>
    <dataValidation type="list" allowBlank="1" showErrorMessage="1" sqref="L4:M29">
      <formula1>"High,Medium,Low,N/A"</formula1>
    </dataValidation>
    <dataValidation type="list" allowBlank="1" showErrorMessage="1" sqref="K3:K29">
      <formula1>"Pass,Fail,Not tested,Fixed"</formula1>
    </dataValidation>
  </dataValidations>
  <hyperlinks>
    <hyperlink display="&lt;&lt;&lt;TestScenario" location="TestScenario!A1" ref="A1"/>
    <hyperlink display="&lt;&lt;&lt;APITestScenario" location="APIFunctionality!A1" ref="B1"/>
    <hyperlink display="&lt;&lt;&lt;AuthAPITestScenario" location="AuthAPI!A1" ref="C1"/>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30.0"/>
    <col customWidth="1" min="3" max="3" width="29.75"/>
    <col customWidth="1" min="4" max="4" width="20.25"/>
    <col customWidth="1" min="5" max="5" width="28.25"/>
    <col customWidth="1" min="6" max="6" width="34.13"/>
    <col customWidth="1" min="7" max="7" width="28.5"/>
    <col customWidth="1" min="8" max="8" width="30.5"/>
    <col customWidth="1" min="9" max="9" width="28.38"/>
    <col customWidth="1" min="10" max="10" width="30.13"/>
    <col customWidth="1" min="11" max="11" width="20.0"/>
    <col customWidth="1" min="12" max="12" width="18.13"/>
    <col customWidth="1" min="13" max="13" width="15.88"/>
    <col customWidth="1" min="14" max="14" width="21.75"/>
    <col customWidth="1" min="15" max="15" width="24.5"/>
  </cols>
  <sheetData>
    <row r="1">
      <c r="A1" s="22" t="s">
        <v>0</v>
      </c>
      <c r="B1" s="22" t="s">
        <v>13</v>
      </c>
      <c r="C1" s="22" t="s">
        <v>2434</v>
      </c>
      <c r="D1" s="28"/>
      <c r="E1" s="28"/>
      <c r="F1" s="28"/>
      <c r="G1" s="28"/>
      <c r="H1" s="28"/>
      <c r="I1" s="28"/>
      <c r="J1" s="28"/>
      <c r="K1" s="28"/>
      <c r="L1" s="28"/>
      <c r="M1" s="28"/>
      <c r="N1" s="28"/>
      <c r="O1" s="28"/>
      <c r="P1" s="28"/>
      <c r="Q1" s="28"/>
      <c r="R1" s="28"/>
      <c r="S1" s="28"/>
      <c r="T1" s="28"/>
      <c r="U1" s="28"/>
      <c r="V1" s="28"/>
      <c r="W1" s="28"/>
      <c r="X1" s="28"/>
      <c r="Y1" s="28"/>
      <c r="Z1" s="28"/>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c r="P2" s="28"/>
      <c r="Q2" s="28"/>
      <c r="R2" s="28"/>
      <c r="S2" s="28"/>
      <c r="T2" s="28"/>
      <c r="U2" s="28"/>
      <c r="V2" s="28"/>
      <c r="W2" s="28"/>
      <c r="X2" s="28"/>
      <c r="Y2" s="28"/>
      <c r="Z2" s="28"/>
    </row>
    <row r="3">
      <c r="A3" s="48"/>
      <c r="B3" s="44" t="s">
        <v>2731</v>
      </c>
      <c r="C3" s="23"/>
      <c r="D3" s="23"/>
      <c r="E3" s="23"/>
      <c r="F3" s="23"/>
      <c r="G3" s="23"/>
      <c r="H3" s="23"/>
      <c r="I3" s="23"/>
      <c r="J3" s="24"/>
      <c r="K3" s="69"/>
      <c r="L3" s="23"/>
      <c r="M3" s="23"/>
      <c r="N3" s="23"/>
      <c r="O3" s="24"/>
      <c r="P3" s="28"/>
      <c r="Q3" s="28"/>
      <c r="R3" s="28"/>
      <c r="S3" s="28"/>
      <c r="T3" s="28"/>
      <c r="U3" s="28"/>
      <c r="V3" s="28"/>
      <c r="W3" s="28"/>
      <c r="X3" s="28"/>
      <c r="Y3" s="28"/>
      <c r="Z3" s="28"/>
    </row>
    <row r="4">
      <c r="A4" s="38" t="s">
        <v>2732</v>
      </c>
      <c r="B4" s="38" t="s">
        <v>32</v>
      </c>
      <c r="C4" s="39" t="s">
        <v>2733</v>
      </c>
      <c r="D4" s="8" t="s">
        <v>219</v>
      </c>
      <c r="E4" s="8" t="s">
        <v>2734</v>
      </c>
      <c r="F4" s="88" t="s">
        <v>2735</v>
      </c>
      <c r="G4" s="39" t="s">
        <v>2736</v>
      </c>
      <c r="H4" s="39" t="s">
        <v>2737</v>
      </c>
      <c r="I4" s="39" t="s">
        <v>2738</v>
      </c>
      <c r="J4" s="39" t="s">
        <v>1063</v>
      </c>
      <c r="K4" s="8" t="s">
        <v>91</v>
      </c>
      <c r="L4" s="8" t="s">
        <v>127</v>
      </c>
      <c r="M4" s="8" t="s">
        <v>127</v>
      </c>
      <c r="N4" s="39"/>
      <c r="O4" s="39" t="s">
        <v>130</v>
      </c>
      <c r="P4" s="28"/>
      <c r="Q4" s="28"/>
      <c r="R4" s="28"/>
      <c r="S4" s="28"/>
      <c r="T4" s="28"/>
      <c r="U4" s="28"/>
      <c r="V4" s="28"/>
      <c r="W4" s="28"/>
      <c r="X4" s="28"/>
      <c r="Y4" s="28"/>
      <c r="Z4" s="28"/>
    </row>
    <row r="5">
      <c r="A5" s="38" t="s">
        <v>2739</v>
      </c>
      <c r="B5" s="38" t="s">
        <v>32</v>
      </c>
      <c r="C5" s="39" t="s">
        <v>2740</v>
      </c>
      <c r="D5" s="8" t="s">
        <v>219</v>
      </c>
      <c r="E5" s="8" t="s">
        <v>2734</v>
      </c>
      <c r="F5" s="88" t="s">
        <v>2741</v>
      </c>
      <c r="G5" s="39" t="s">
        <v>2742</v>
      </c>
      <c r="H5" s="39" t="s">
        <v>223</v>
      </c>
      <c r="I5" s="39" t="s">
        <v>2743</v>
      </c>
      <c r="J5" s="39" t="s">
        <v>2744</v>
      </c>
      <c r="K5" s="8" t="s">
        <v>91</v>
      </c>
      <c r="L5" s="8" t="s">
        <v>105</v>
      </c>
      <c r="M5" s="8" t="s">
        <v>105</v>
      </c>
      <c r="N5" s="39"/>
      <c r="O5" s="39" t="s">
        <v>2745</v>
      </c>
      <c r="P5" s="28"/>
      <c r="Q5" s="28"/>
      <c r="R5" s="28"/>
      <c r="S5" s="28"/>
      <c r="T5" s="28"/>
      <c r="U5" s="28"/>
      <c r="V5" s="28"/>
      <c r="W5" s="28"/>
      <c r="X5" s="28"/>
      <c r="Y5" s="28"/>
      <c r="Z5" s="28"/>
    </row>
    <row r="6">
      <c r="A6" s="38" t="s">
        <v>2746</v>
      </c>
      <c r="B6" s="38" t="s">
        <v>32</v>
      </c>
      <c r="C6" s="39" t="s">
        <v>2747</v>
      </c>
      <c r="D6" s="8" t="s">
        <v>219</v>
      </c>
      <c r="E6" s="8" t="s">
        <v>2734</v>
      </c>
      <c r="F6" s="39" t="s">
        <v>433</v>
      </c>
      <c r="G6" s="39" t="s">
        <v>221</v>
      </c>
      <c r="H6" s="39" t="s">
        <v>2748</v>
      </c>
      <c r="I6" s="39" t="s">
        <v>2743</v>
      </c>
      <c r="J6" s="39" t="s">
        <v>2749</v>
      </c>
      <c r="K6" s="8" t="s">
        <v>91</v>
      </c>
      <c r="L6" s="8" t="s">
        <v>92</v>
      </c>
      <c r="M6" s="8" t="s">
        <v>92</v>
      </c>
      <c r="N6" s="39"/>
      <c r="O6" s="39" t="s">
        <v>2750</v>
      </c>
      <c r="P6" s="28"/>
      <c r="Q6" s="28"/>
      <c r="R6" s="28"/>
      <c r="S6" s="28"/>
      <c r="T6" s="28"/>
      <c r="U6" s="28"/>
      <c r="V6" s="28"/>
      <c r="W6" s="28"/>
      <c r="X6" s="28"/>
      <c r="Y6" s="28"/>
      <c r="Z6" s="28"/>
    </row>
    <row r="7">
      <c r="A7" s="38" t="s">
        <v>2751</v>
      </c>
      <c r="B7" s="38" t="s">
        <v>32</v>
      </c>
      <c r="C7" s="39" t="s">
        <v>2752</v>
      </c>
      <c r="D7" s="8" t="s">
        <v>219</v>
      </c>
      <c r="E7" s="8" t="s">
        <v>2734</v>
      </c>
      <c r="F7" s="39" t="s">
        <v>2753</v>
      </c>
      <c r="G7" s="39" t="s">
        <v>221</v>
      </c>
      <c r="H7" s="39" t="s">
        <v>223</v>
      </c>
      <c r="I7" s="39" t="s">
        <v>2743</v>
      </c>
      <c r="J7" s="39" t="s">
        <v>2749</v>
      </c>
      <c r="K7" s="8" t="s">
        <v>91</v>
      </c>
      <c r="L7" s="8" t="s">
        <v>92</v>
      </c>
      <c r="M7" s="8" t="s">
        <v>92</v>
      </c>
      <c r="N7" s="39"/>
      <c r="O7" s="39" t="s">
        <v>1095</v>
      </c>
      <c r="P7" s="28"/>
      <c r="Q7" s="28"/>
      <c r="R7" s="28"/>
      <c r="S7" s="28"/>
      <c r="T7" s="28"/>
      <c r="U7" s="28"/>
      <c r="V7" s="28"/>
      <c r="W7" s="28"/>
      <c r="X7" s="28"/>
      <c r="Y7" s="28"/>
      <c r="Z7" s="28"/>
    </row>
    <row r="8">
      <c r="A8" s="38" t="s">
        <v>2754</v>
      </c>
      <c r="B8" s="38" t="s">
        <v>32</v>
      </c>
      <c r="C8" s="39" t="s">
        <v>2755</v>
      </c>
      <c r="D8" s="8" t="s">
        <v>219</v>
      </c>
      <c r="E8" s="8" t="s">
        <v>2734</v>
      </c>
      <c r="F8" s="39" t="s">
        <v>2756</v>
      </c>
      <c r="G8" s="39" t="s">
        <v>221</v>
      </c>
      <c r="H8" s="39" t="s">
        <v>223</v>
      </c>
      <c r="I8" s="39" t="s">
        <v>2743</v>
      </c>
      <c r="J8" s="39" t="s">
        <v>2757</v>
      </c>
      <c r="K8" s="8" t="s">
        <v>91</v>
      </c>
      <c r="L8" s="8" t="s">
        <v>105</v>
      </c>
      <c r="M8" s="8" t="s">
        <v>105</v>
      </c>
      <c r="N8" s="39"/>
      <c r="O8" s="39" t="s">
        <v>2758</v>
      </c>
      <c r="P8" s="28"/>
      <c r="Q8" s="28"/>
      <c r="R8" s="28"/>
      <c r="S8" s="28"/>
      <c r="T8" s="28"/>
      <c r="U8" s="28"/>
      <c r="V8" s="28"/>
      <c r="W8" s="28"/>
      <c r="X8" s="28"/>
      <c r="Y8" s="28"/>
      <c r="Z8" s="28"/>
    </row>
    <row r="9">
      <c r="A9" s="38" t="s">
        <v>2759</v>
      </c>
      <c r="B9" s="38" t="s">
        <v>32</v>
      </c>
      <c r="C9" s="39" t="s">
        <v>2760</v>
      </c>
      <c r="D9" s="8" t="s">
        <v>219</v>
      </c>
      <c r="E9" s="8" t="s">
        <v>2734</v>
      </c>
      <c r="F9" s="39" t="s">
        <v>2761</v>
      </c>
      <c r="G9" s="39" t="s">
        <v>221</v>
      </c>
      <c r="H9" s="39" t="s">
        <v>223</v>
      </c>
      <c r="I9" s="39" t="s">
        <v>2762</v>
      </c>
      <c r="J9" s="39" t="s">
        <v>2763</v>
      </c>
      <c r="K9" s="8" t="s">
        <v>91</v>
      </c>
      <c r="L9" s="8" t="s">
        <v>427</v>
      </c>
      <c r="M9" s="8" t="s">
        <v>92</v>
      </c>
      <c r="N9" s="39"/>
      <c r="O9" s="39" t="s">
        <v>1087</v>
      </c>
      <c r="P9" s="28"/>
      <c r="Q9" s="28"/>
      <c r="R9" s="28"/>
      <c r="S9" s="28"/>
      <c r="T9" s="28"/>
      <c r="U9" s="28"/>
      <c r="V9" s="28"/>
      <c r="W9" s="28"/>
      <c r="X9" s="28"/>
      <c r="Y9" s="28"/>
      <c r="Z9" s="28"/>
    </row>
    <row r="10">
      <c r="A10" s="38" t="s">
        <v>2764</v>
      </c>
      <c r="B10" s="38" t="s">
        <v>32</v>
      </c>
      <c r="C10" s="39" t="s">
        <v>2765</v>
      </c>
      <c r="D10" s="8" t="s">
        <v>219</v>
      </c>
      <c r="E10" s="8" t="s">
        <v>2734</v>
      </c>
      <c r="F10" s="39" t="s">
        <v>2766</v>
      </c>
      <c r="G10" s="39" t="s">
        <v>221</v>
      </c>
      <c r="H10" s="39" t="s">
        <v>223</v>
      </c>
      <c r="I10" s="39" t="s">
        <v>2762</v>
      </c>
      <c r="J10" s="39" t="s">
        <v>2763</v>
      </c>
      <c r="K10" s="8" t="s">
        <v>91</v>
      </c>
      <c r="L10" s="8" t="s">
        <v>92</v>
      </c>
      <c r="M10" s="8" t="s">
        <v>92</v>
      </c>
      <c r="N10" s="39"/>
      <c r="O10" s="39" t="s">
        <v>2767</v>
      </c>
      <c r="P10" s="28"/>
      <c r="Q10" s="28"/>
      <c r="R10" s="28"/>
      <c r="S10" s="28"/>
      <c r="T10" s="28"/>
      <c r="U10" s="28"/>
      <c r="V10" s="28"/>
      <c r="W10" s="28"/>
      <c r="X10" s="28"/>
      <c r="Y10" s="28"/>
      <c r="Z10" s="28"/>
    </row>
    <row r="11">
      <c r="A11" s="38" t="s">
        <v>2768</v>
      </c>
      <c r="B11" s="38" t="s">
        <v>32</v>
      </c>
      <c r="C11" s="39" t="s">
        <v>2769</v>
      </c>
      <c r="D11" s="8" t="s">
        <v>219</v>
      </c>
      <c r="E11" s="8" t="s">
        <v>2734</v>
      </c>
      <c r="F11" s="39" t="s">
        <v>2735</v>
      </c>
      <c r="G11" s="39" t="s">
        <v>210</v>
      </c>
      <c r="H11" s="39" t="s">
        <v>2770</v>
      </c>
      <c r="I11" s="39" t="s">
        <v>1133</v>
      </c>
      <c r="J11" s="39"/>
      <c r="K11" s="8" t="s">
        <v>172</v>
      </c>
      <c r="L11" s="8" t="s">
        <v>105</v>
      </c>
      <c r="M11" s="8" t="s">
        <v>105</v>
      </c>
      <c r="N11" s="39"/>
      <c r="O11" s="39" t="s">
        <v>1134</v>
      </c>
      <c r="P11" s="28"/>
      <c r="Q11" s="28"/>
      <c r="R11" s="28"/>
      <c r="S11" s="28"/>
      <c r="T11" s="28"/>
      <c r="U11" s="28"/>
      <c r="V11" s="28"/>
      <c r="W11" s="28"/>
      <c r="X11" s="28"/>
      <c r="Y11" s="28"/>
      <c r="Z11" s="28"/>
    </row>
    <row r="12">
      <c r="A12" s="38" t="s">
        <v>2771</v>
      </c>
      <c r="B12" s="38" t="s">
        <v>32</v>
      </c>
      <c r="C12" s="39" t="s">
        <v>95</v>
      </c>
      <c r="D12" s="8" t="s">
        <v>219</v>
      </c>
      <c r="E12" s="8" t="s">
        <v>2734</v>
      </c>
      <c r="F12" s="39" t="s">
        <v>2735</v>
      </c>
      <c r="G12" s="39" t="s">
        <v>221</v>
      </c>
      <c r="H12" s="39" t="s">
        <v>223</v>
      </c>
      <c r="I12" s="39" t="s">
        <v>2772</v>
      </c>
      <c r="J12" s="89" t="s">
        <v>2773</v>
      </c>
      <c r="K12" s="8" t="s">
        <v>91</v>
      </c>
      <c r="L12" s="8" t="s">
        <v>127</v>
      </c>
      <c r="M12" s="8" t="s">
        <v>127</v>
      </c>
      <c r="N12" s="39"/>
      <c r="O12" s="39" t="s">
        <v>2774</v>
      </c>
      <c r="P12" s="28"/>
      <c r="Q12" s="28"/>
      <c r="R12" s="28"/>
      <c r="S12" s="28"/>
      <c r="T12" s="28"/>
      <c r="U12" s="28"/>
      <c r="V12" s="28"/>
      <c r="W12" s="28"/>
      <c r="X12" s="28"/>
      <c r="Y12" s="28"/>
      <c r="Z12" s="28"/>
    </row>
    <row r="13">
      <c r="A13" s="38" t="s">
        <v>2775</v>
      </c>
      <c r="B13" s="38" t="s">
        <v>32</v>
      </c>
      <c r="C13" s="39" t="s">
        <v>2776</v>
      </c>
      <c r="D13" s="8" t="s">
        <v>219</v>
      </c>
      <c r="E13" s="8" t="s">
        <v>2734</v>
      </c>
      <c r="F13" s="39" t="s">
        <v>2735</v>
      </c>
      <c r="G13" s="39" t="s">
        <v>221</v>
      </c>
      <c r="H13" s="39" t="s">
        <v>223</v>
      </c>
      <c r="I13" s="39" t="s">
        <v>2777</v>
      </c>
      <c r="J13" s="39" t="s">
        <v>1063</v>
      </c>
      <c r="K13" s="8" t="s">
        <v>91</v>
      </c>
      <c r="L13" s="8" t="s">
        <v>92</v>
      </c>
      <c r="M13" s="8" t="s">
        <v>92</v>
      </c>
      <c r="N13" s="39"/>
      <c r="O13" s="39" t="s">
        <v>2778</v>
      </c>
      <c r="P13" s="28"/>
      <c r="Q13" s="28"/>
      <c r="R13" s="28"/>
      <c r="S13" s="28"/>
      <c r="T13" s="28"/>
      <c r="U13" s="28"/>
      <c r="V13" s="28"/>
      <c r="W13" s="28"/>
      <c r="X13" s="28"/>
      <c r="Y13" s="28"/>
      <c r="Z13" s="28"/>
    </row>
    <row r="14">
      <c r="A14" s="38" t="s">
        <v>2779</v>
      </c>
      <c r="B14" s="38" t="s">
        <v>32</v>
      </c>
      <c r="C14" s="39" t="s">
        <v>2780</v>
      </c>
      <c r="D14" s="8" t="s">
        <v>219</v>
      </c>
      <c r="E14" s="8" t="s">
        <v>2734</v>
      </c>
      <c r="F14" s="90" t="s">
        <v>2735</v>
      </c>
      <c r="G14" s="39" t="s">
        <v>210</v>
      </c>
      <c r="H14" s="39" t="s">
        <v>97</v>
      </c>
      <c r="I14" s="39" t="s">
        <v>2781</v>
      </c>
      <c r="J14" s="39" t="s">
        <v>1063</v>
      </c>
      <c r="K14" s="38" t="s">
        <v>91</v>
      </c>
      <c r="L14" s="38" t="s">
        <v>127</v>
      </c>
      <c r="M14" s="38" t="s">
        <v>127</v>
      </c>
      <c r="N14" s="42"/>
      <c r="O14" s="39" t="s">
        <v>2782</v>
      </c>
      <c r="P14" s="28"/>
      <c r="Q14" s="28"/>
      <c r="R14" s="28"/>
      <c r="S14" s="28"/>
      <c r="T14" s="28"/>
      <c r="U14" s="28"/>
      <c r="V14" s="28"/>
      <c r="W14" s="28"/>
      <c r="X14" s="28"/>
      <c r="Y14" s="28"/>
      <c r="Z14" s="28"/>
    </row>
    <row r="15">
      <c r="A15" s="38" t="s">
        <v>2783</v>
      </c>
      <c r="B15" s="38" t="s">
        <v>32</v>
      </c>
      <c r="C15" s="39" t="s">
        <v>2784</v>
      </c>
      <c r="D15" s="8" t="s">
        <v>219</v>
      </c>
      <c r="E15" s="8" t="s">
        <v>2734</v>
      </c>
      <c r="F15" s="90" t="s">
        <v>2735</v>
      </c>
      <c r="G15" s="39" t="s">
        <v>210</v>
      </c>
      <c r="H15" s="39" t="s">
        <v>2785</v>
      </c>
      <c r="I15" s="39" t="s">
        <v>2786</v>
      </c>
      <c r="J15" s="39" t="s">
        <v>1063</v>
      </c>
      <c r="K15" s="38" t="s">
        <v>91</v>
      </c>
      <c r="L15" s="38" t="s">
        <v>127</v>
      </c>
      <c r="M15" s="38" t="s">
        <v>127</v>
      </c>
      <c r="N15" s="42"/>
      <c r="O15" s="39" t="s">
        <v>2787</v>
      </c>
      <c r="P15" s="28"/>
      <c r="Q15" s="28"/>
      <c r="R15" s="28"/>
      <c r="S15" s="28"/>
      <c r="T15" s="28"/>
      <c r="U15" s="28"/>
      <c r="V15" s="28"/>
      <c r="W15" s="28"/>
      <c r="X15" s="28"/>
      <c r="Y15" s="28"/>
      <c r="Z15" s="28"/>
    </row>
    <row r="16">
      <c r="A16" s="38" t="s">
        <v>2788</v>
      </c>
      <c r="B16" s="38" t="s">
        <v>32</v>
      </c>
      <c r="C16" s="39" t="s">
        <v>2789</v>
      </c>
      <c r="D16" s="8" t="s">
        <v>219</v>
      </c>
      <c r="E16" s="8" t="s">
        <v>2734</v>
      </c>
      <c r="F16" s="39" t="s">
        <v>2735</v>
      </c>
      <c r="G16" s="39" t="s">
        <v>210</v>
      </c>
      <c r="H16" s="39" t="s">
        <v>2790</v>
      </c>
      <c r="I16" s="39" t="s">
        <v>2791</v>
      </c>
      <c r="J16" s="39" t="s">
        <v>1063</v>
      </c>
      <c r="K16" s="38" t="s">
        <v>91</v>
      </c>
      <c r="L16" s="38" t="s">
        <v>127</v>
      </c>
      <c r="M16" s="38" t="s">
        <v>127</v>
      </c>
      <c r="N16" s="42"/>
      <c r="O16" s="39" t="s">
        <v>2792</v>
      </c>
      <c r="P16" s="28"/>
      <c r="Q16" s="28"/>
      <c r="R16" s="28"/>
      <c r="S16" s="28"/>
      <c r="T16" s="28"/>
      <c r="U16" s="28"/>
      <c r="V16" s="28"/>
      <c r="W16" s="28"/>
      <c r="X16" s="28"/>
      <c r="Y16" s="28"/>
      <c r="Z16" s="28"/>
    </row>
    <row r="17">
      <c r="A17" s="38" t="s">
        <v>2793</v>
      </c>
      <c r="B17" s="38" t="s">
        <v>32</v>
      </c>
      <c r="C17" s="39" t="s">
        <v>2794</v>
      </c>
      <c r="D17" s="8" t="s">
        <v>219</v>
      </c>
      <c r="E17" s="8" t="s">
        <v>2734</v>
      </c>
      <c r="F17" s="39" t="s">
        <v>2735</v>
      </c>
      <c r="G17" s="39" t="s">
        <v>2795</v>
      </c>
      <c r="H17" s="39" t="s">
        <v>97</v>
      </c>
      <c r="I17" s="39" t="s">
        <v>2796</v>
      </c>
      <c r="J17" s="89" t="s">
        <v>2797</v>
      </c>
      <c r="K17" s="38" t="s">
        <v>172</v>
      </c>
      <c r="L17" s="38" t="s">
        <v>127</v>
      </c>
      <c r="M17" s="38" t="s">
        <v>127</v>
      </c>
      <c r="N17" s="42"/>
      <c r="O17" s="39" t="s">
        <v>2798</v>
      </c>
      <c r="P17" s="28"/>
      <c r="Q17" s="28"/>
      <c r="R17" s="28"/>
      <c r="S17" s="28"/>
      <c r="T17" s="28"/>
      <c r="U17" s="28"/>
      <c r="V17" s="28"/>
      <c r="W17" s="28"/>
      <c r="X17" s="28"/>
      <c r="Y17" s="28"/>
      <c r="Z17" s="28"/>
    </row>
    <row r="18">
      <c r="A18" s="38" t="s">
        <v>2799</v>
      </c>
      <c r="B18" s="38" t="s">
        <v>32</v>
      </c>
      <c r="C18" s="39" t="s">
        <v>2800</v>
      </c>
      <c r="D18" s="8" t="s">
        <v>219</v>
      </c>
      <c r="E18" s="8" t="s">
        <v>2801</v>
      </c>
      <c r="F18" s="39" t="s">
        <v>2802</v>
      </c>
      <c r="G18" s="39" t="s">
        <v>2803</v>
      </c>
      <c r="H18" s="39" t="s">
        <v>2804</v>
      </c>
      <c r="I18" s="39" t="s">
        <v>2805</v>
      </c>
      <c r="J18" s="39" t="s">
        <v>2806</v>
      </c>
      <c r="K18" s="38" t="s">
        <v>91</v>
      </c>
      <c r="L18" s="38" t="s">
        <v>127</v>
      </c>
      <c r="M18" s="38" t="s">
        <v>127</v>
      </c>
      <c r="N18" s="42"/>
      <c r="O18" s="39" t="s">
        <v>2807</v>
      </c>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sheetData>
  <mergeCells count="2">
    <mergeCell ref="B3:J3"/>
    <mergeCell ref="K3:O3"/>
  </mergeCells>
  <dataValidations>
    <dataValidation type="list" allowBlank="1" showErrorMessage="1" sqref="D4:D18">
      <formula1>"GET,POST,PATCH,DELETE,PUT"</formula1>
    </dataValidation>
    <dataValidation type="list" allowBlank="1" showErrorMessage="1" sqref="L4:M18">
      <formula1>"High,Medium,Low,N/A,Critical"</formula1>
    </dataValidation>
    <dataValidation type="list" allowBlank="1" showErrorMessage="1" sqref="K3:K18">
      <formula1>"Pass,Fail,Not tested,Fixed"</formula1>
    </dataValidation>
  </dataValidations>
  <hyperlinks>
    <hyperlink display="&lt;&lt;&lt;TestScenario" location="TestScenario!A1" ref="A1"/>
    <hyperlink display="&lt;&lt;&lt;APITestScenario" location="APIFunctionality!A1" ref="B1"/>
    <hyperlink display="&lt;&lt;&lt;AuthAPITestScenario" location="AuthAPI!A1" ref="C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9.75"/>
    <col customWidth="1" min="3" max="3" width="31.38"/>
    <col customWidth="1" min="4" max="4" width="14.5"/>
    <col customWidth="1" min="5" max="5" width="31.0"/>
    <col customWidth="1" min="6" max="6" width="27.75"/>
    <col customWidth="1" min="7" max="7" width="30.5"/>
    <col customWidth="1" min="8" max="9" width="29.5"/>
    <col customWidth="1" min="10" max="10" width="28.75"/>
    <col customWidth="1" min="11" max="11" width="17.75"/>
    <col customWidth="1" min="12" max="12" width="17.88"/>
    <col customWidth="1" min="13" max="13" width="17.25"/>
    <col customWidth="1" min="14" max="14" width="27.75"/>
    <col customWidth="1" min="15" max="15" width="27.63"/>
  </cols>
  <sheetData>
    <row r="1">
      <c r="A1" s="2" t="s">
        <v>0</v>
      </c>
      <c r="B1" s="2" t="s">
        <v>13</v>
      </c>
      <c r="C1" s="2" t="s">
        <v>2434</v>
      </c>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c r="A3" s="48"/>
      <c r="B3" s="44" t="s">
        <v>2808</v>
      </c>
      <c r="C3" s="23"/>
      <c r="D3" s="23"/>
      <c r="E3" s="23"/>
      <c r="F3" s="23"/>
      <c r="G3" s="23"/>
      <c r="H3" s="23"/>
      <c r="I3" s="23"/>
      <c r="J3" s="24"/>
      <c r="K3" s="69"/>
      <c r="L3" s="23"/>
      <c r="M3" s="23"/>
      <c r="N3" s="23"/>
      <c r="O3" s="24"/>
    </row>
    <row r="4">
      <c r="A4" s="38" t="s">
        <v>2809</v>
      </c>
      <c r="B4" s="38" t="s">
        <v>36</v>
      </c>
      <c r="C4" s="39" t="s">
        <v>2810</v>
      </c>
      <c r="D4" s="8" t="s">
        <v>219</v>
      </c>
      <c r="E4" s="8" t="s">
        <v>2811</v>
      </c>
      <c r="F4" s="39" t="s">
        <v>2812</v>
      </c>
      <c r="G4" s="39" t="s">
        <v>2813</v>
      </c>
      <c r="H4" s="39" t="s">
        <v>2814</v>
      </c>
      <c r="I4" s="39" t="s">
        <v>2815</v>
      </c>
      <c r="J4" s="39" t="s">
        <v>2816</v>
      </c>
      <c r="K4" s="8" t="s">
        <v>91</v>
      </c>
      <c r="L4" s="8" t="s">
        <v>127</v>
      </c>
      <c r="M4" s="8" t="s">
        <v>127</v>
      </c>
      <c r="N4" s="39"/>
      <c r="O4" s="39" t="s">
        <v>130</v>
      </c>
    </row>
    <row r="5">
      <c r="A5" s="38" t="s">
        <v>2817</v>
      </c>
      <c r="B5" s="38" t="s">
        <v>36</v>
      </c>
      <c r="C5" s="39" t="s">
        <v>2818</v>
      </c>
      <c r="D5" s="8" t="s">
        <v>219</v>
      </c>
      <c r="E5" s="8" t="s">
        <v>2811</v>
      </c>
      <c r="F5" s="39" t="s">
        <v>221</v>
      </c>
      <c r="G5" s="39" t="s">
        <v>2819</v>
      </c>
      <c r="H5" s="39" t="s">
        <v>2820</v>
      </c>
      <c r="I5" s="39" t="s">
        <v>2821</v>
      </c>
      <c r="J5" s="39" t="s">
        <v>2822</v>
      </c>
      <c r="K5" s="8" t="s">
        <v>91</v>
      </c>
      <c r="L5" s="8" t="s">
        <v>105</v>
      </c>
      <c r="M5" s="8" t="s">
        <v>92</v>
      </c>
      <c r="N5" s="39"/>
      <c r="O5" s="39" t="s">
        <v>2823</v>
      </c>
    </row>
    <row r="6">
      <c r="A6" s="38" t="s">
        <v>2824</v>
      </c>
      <c r="B6" s="38" t="s">
        <v>36</v>
      </c>
      <c r="C6" s="39" t="s">
        <v>2825</v>
      </c>
      <c r="D6" s="8" t="s">
        <v>219</v>
      </c>
      <c r="E6" s="8" t="s">
        <v>2811</v>
      </c>
      <c r="F6" s="39" t="s">
        <v>2826</v>
      </c>
      <c r="G6" s="39" t="s">
        <v>221</v>
      </c>
      <c r="H6" s="39" t="s">
        <v>2827</v>
      </c>
      <c r="I6" s="39" t="s">
        <v>562</v>
      </c>
      <c r="J6" s="39" t="s">
        <v>2828</v>
      </c>
      <c r="K6" s="8" t="s">
        <v>91</v>
      </c>
      <c r="L6" s="8" t="s">
        <v>92</v>
      </c>
      <c r="M6" s="8" t="s">
        <v>92</v>
      </c>
      <c r="N6" s="39"/>
      <c r="O6" s="39" t="s">
        <v>2787</v>
      </c>
    </row>
    <row r="7">
      <c r="A7" s="38" t="s">
        <v>2829</v>
      </c>
      <c r="B7" s="38" t="s">
        <v>36</v>
      </c>
      <c r="C7" s="39" t="s">
        <v>2830</v>
      </c>
      <c r="D7" s="8" t="s">
        <v>219</v>
      </c>
      <c r="E7" s="8" t="s">
        <v>2811</v>
      </c>
      <c r="F7" s="39" t="s">
        <v>2831</v>
      </c>
      <c r="G7" s="39" t="s">
        <v>233</v>
      </c>
      <c r="H7" s="39" t="s">
        <v>2493</v>
      </c>
      <c r="I7" s="39" t="s">
        <v>2832</v>
      </c>
      <c r="J7" s="39" t="s">
        <v>144</v>
      </c>
      <c r="K7" s="8" t="s">
        <v>91</v>
      </c>
      <c r="L7" s="8" t="s">
        <v>92</v>
      </c>
      <c r="M7" s="8" t="s">
        <v>92</v>
      </c>
      <c r="N7" s="39"/>
      <c r="O7" s="39" t="s">
        <v>2833</v>
      </c>
    </row>
    <row r="8">
      <c r="A8" s="38" t="s">
        <v>2834</v>
      </c>
      <c r="B8" s="38" t="s">
        <v>36</v>
      </c>
      <c r="C8" s="39" t="s">
        <v>2835</v>
      </c>
      <c r="D8" s="8" t="s">
        <v>219</v>
      </c>
      <c r="E8" s="8" t="s">
        <v>2811</v>
      </c>
      <c r="F8" s="39" t="s">
        <v>2836</v>
      </c>
      <c r="G8" s="39" t="s">
        <v>2406</v>
      </c>
      <c r="H8" s="39" t="s">
        <v>2493</v>
      </c>
      <c r="I8" s="39" t="s">
        <v>556</v>
      </c>
      <c r="J8" s="39" t="s">
        <v>144</v>
      </c>
      <c r="K8" s="8" t="s">
        <v>91</v>
      </c>
      <c r="L8" s="8" t="s">
        <v>92</v>
      </c>
      <c r="M8" s="8" t="s">
        <v>92</v>
      </c>
      <c r="N8" s="39"/>
      <c r="O8" s="39" t="s">
        <v>2837</v>
      </c>
    </row>
    <row r="9">
      <c r="A9" s="38" t="s">
        <v>2838</v>
      </c>
      <c r="B9" s="38" t="s">
        <v>36</v>
      </c>
      <c r="C9" s="39" t="s">
        <v>2839</v>
      </c>
      <c r="D9" s="8" t="s">
        <v>219</v>
      </c>
      <c r="E9" s="8" t="s">
        <v>2811</v>
      </c>
      <c r="F9" s="39" t="s">
        <v>2840</v>
      </c>
      <c r="G9" s="39" t="s">
        <v>2841</v>
      </c>
      <c r="H9" s="39" t="s">
        <v>2842</v>
      </c>
      <c r="I9" s="39" t="s">
        <v>2843</v>
      </c>
      <c r="J9" s="39" t="s">
        <v>144</v>
      </c>
      <c r="K9" s="8" t="s">
        <v>91</v>
      </c>
      <c r="L9" s="8" t="s">
        <v>92</v>
      </c>
      <c r="M9" s="8" t="s">
        <v>92</v>
      </c>
      <c r="N9" s="39"/>
      <c r="O9" s="39" t="s">
        <v>2844</v>
      </c>
    </row>
    <row r="10">
      <c r="A10" s="38" t="s">
        <v>2845</v>
      </c>
      <c r="B10" s="38" t="s">
        <v>36</v>
      </c>
      <c r="C10" s="39" t="s">
        <v>2846</v>
      </c>
      <c r="D10" s="8" t="s">
        <v>219</v>
      </c>
      <c r="E10" s="8" t="s">
        <v>2811</v>
      </c>
      <c r="F10" s="39" t="s">
        <v>2846</v>
      </c>
      <c r="G10" s="39" t="s">
        <v>2365</v>
      </c>
      <c r="H10" s="39" t="s">
        <v>2493</v>
      </c>
      <c r="I10" s="39" t="s">
        <v>2847</v>
      </c>
      <c r="J10" s="39" t="s">
        <v>2816</v>
      </c>
      <c r="K10" s="8" t="s">
        <v>91</v>
      </c>
      <c r="L10" s="8" t="s">
        <v>127</v>
      </c>
      <c r="M10" s="8" t="s">
        <v>127</v>
      </c>
      <c r="N10" s="39"/>
      <c r="O10" s="39" t="s">
        <v>2848</v>
      </c>
    </row>
    <row r="11">
      <c r="A11" s="38" t="s">
        <v>2849</v>
      </c>
      <c r="B11" s="38" t="s">
        <v>36</v>
      </c>
      <c r="C11" s="39" t="s">
        <v>2850</v>
      </c>
      <c r="D11" s="8" t="s">
        <v>219</v>
      </c>
      <c r="E11" s="8" t="s">
        <v>2811</v>
      </c>
      <c r="F11" s="39" t="s">
        <v>2840</v>
      </c>
      <c r="G11" s="39" t="s">
        <v>221</v>
      </c>
      <c r="H11" s="39" t="s">
        <v>2493</v>
      </c>
      <c r="I11" s="39" t="s">
        <v>2851</v>
      </c>
      <c r="J11" s="39" t="s">
        <v>144</v>
      </c>
      <c r="K11" s="8" t="s">
        <v>91</v>
      </c>
      <c r="L11" s="8" t="s">
        <v>121</v>
      </c>
      <c r="M11" s="8" t="s">
        <v>105</v>
      </c>
      <c r="N11" s="39"/>
      <c r="O11" s="39" t="s">
        <v>2852</v>
      </c>
    </row>
    <row r="12">
      <c r="A12" s="38" t="s">
        <v>2853</v>
      </c>
      <c r="B12" s="38" t="s">
        <v>36</v>
      </c>
      <c r="C12" s="39" t="s">
        <v>2854</v>
      </c>
      <c r="D12" s="8" t="s">
        <v>219</v>
      </c>
      <c r="E12" s="8" t="s">
        <v>2811</v>
      </c>
      <c r="F12" s="39" t="s">
        <v>2855</v>
      </c>
      <c r="G12" s="39" t="s">
        <v>2856</v>
      </c>
      <c r="H12" s="39" t="s">
        <v>2857</v>
      </c>
      <c r="I12" s="39" t="s">
        <v>2819</v>
      </c>
      <c r="J12" s="39"/>
      <c r="K12" s="8" t="s">
        <v>172</v>
      </c>
      <c r="L12" s="8" t="s">
        <v>92</v>
      </c>
      <c r="M12" s="8" t="s">
        <v>92</v>
      </c>
      <c r="N12" s="39"/>
      <c r="O12" s="39" t="s">
        <v>2858</v>
      </c>
    </row>
    <row r="13">
      <c r="A13" s="38" t="s">
        <v>2859</v>
      </c>
      <c r="B13" s="38" t="s">
        <v>36</v>
      </c>
      <c r="C13" s="39" t="s">
        <v>2860</v>
      </c>
      <c r="D13" s="8" t="s">
        <v>219</v>
      </c>
      <c r="E13" s="8" t="s">
        <v>2811</v>
      </c>
      <c r="F13" s="39" t="s">
        <v>2861</v>
      </c>
      <c r="G13" s="39" t="s">
        <v>1226</v>
      </c>
      <c r="H13" s="39" t="s">
        <v>2862</v>
      </c>
      <c r="I13" s="39" t="s">
        <v>2863</v>
      </c>
      <c r="J13" s="39" t="s">
        <v>2864</v>
      </c>
      <c r="K13" s="8" t="s">
        <v>91</v>
      </c>
      <c r="L13" s="8" t="s">
        <v>105</v>
      </c>
      <c r="M13" s="8" t="s">
        <v>105</v>
      </c>
      <c r="N13" s="39"/>
      <c r="O13" s="39" t="s">
        <v>2865</v>
      </c>
    </row>
  </sheetData>
  <mergeCells count="2">
    <mergeCell ref="B3:J3"/>
    <mergeCell ref="K3:O3"/>
  </mergeCells>
  <dataValidations>
    <dataValidation type="list" allowBlank="1" showErrorMessage="1" sqref="D4:D13">
      <formula1>"GET,POST,PATCH,DELETE,PUT"</formula1>
    </dataValidation>
    <dataValidation type="list" allowBlank="1" showErrorMessage="1" sqref="L4:M13">
      <formula1>"High,Medium,Low,N/A"</formula1>
    </dataValidation>
    <dataValidation type="list" allowBlank="1" showErrorMessage="1" sqref="K3:K13">
      <formula1>"Pass,Fail,Not tested,Fixed"</formula1>
    </dataValidation>
  </dataValidations>
  <hyperlinks>
    <hyperlink display="&lt;&lt;&lt;TestScenario" location="TestScenario!A1" ref="A1"/>
    <hyperlink display="&lt;&lt;&lt;APITestScenario" location="APIFunctionality!A1" ref="B1"/>
    <hyperlink display="&lt;&lt;&lt;AuthAPITestScenario" location="AuthAPI!A1" ref="C1"/>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3" width="25.5"/>
    <col customWidth="1" min="4" max="4" width="15.88"/>
    <col customWidth="1" min="5" max="5" width="26.63"/>
    <col customWidth="1" min="6" max="6" width="35.88"/>
    <col customWidth="1" min="7" max="7" width="27.5"/>
    <col customWidth="1" min="8" max="8" width="27.25"/>
    <col customWidth="1" min="9" max="9" width="42.88"/>
    <col customWidth="1" min="10" max="10" width="43.5"/>
    <col customWidth="1" min="11" max="11" width="19.88"/>
    <col customWidth="1" min="12" max="12" width="18.63"/>
    <col customWidth="1" min="13" max="13" width="17.75"/>
    <col customWidth="1" min="14" max="14" width="19.13"/>
    <col customWidth="1" min="15" max="15" width="28.63"/>
  </cols>
  <sheetData>
    <row r="1">
      <c r="A1" s="2" t="s">
        <v>0</v>
      </c>
      <c r="B1" s="2" t="s">
        <v>13</v>
      </c>
      <c r="C1" s="2" t="s">
        <v>2434</v>
      </c>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row>
    <row r="3" ht="38.25" customHeight="1">
      <c r="A3" s="48"/>
      <c r="B3" s="49" t="s">
        <v>2866</v>
      </c>
      <c r="C3" s="23"/>
      <c r="D3" s="23"/>
      <c r="E3" s="23"/>
      <c r="F3" s="23"/>
      <c r="G3" s="23"/>
      <c r="H3" s="23"/>
      <c r="I3" s="23"/>
      <c r="J3" s="24"/>
      <c r="K3" s="69"/>
      <c r="L3" s="23"/>
      <c r="M3" s="23"/>
      <c r="N3" s="23"/>
      <c r="O3" s="24"/>
    </row>
    <row r="4">
      <c r="A4" s="38" t="s">
        <v>2867</v>
      </c>
      <c r="B4" s="38" t="s">
        <v>20</v>
      </c>
      <c r="C4" s="39" t="s">
        <v>2868</v>
      </c>
      <c r="D4" s="8" t="s">
        <v>219</v>
      </c>
      <c r="E4" s="8" t="s">
        <v>1396</v>
      </c>
      <c r="F4" s="39" t="s">
        <v>2869</v>
      </c>
      <c r="G4" s="39" t="s">
        <v>2736</v>
      </c>
      <c r="H4" s="39" t="s">
        <v>2870</v>
      </c>
      <c r="I4" s="39" t="s">
        <v>2871</v>
      </c>
      <c r="J4" s="39" t="s">
        <v>1063</v>
      </c>
      <c r="K4" s="8" t="s">
        <v>91</v>
      </c>
      <c r="L4" s="8" t="s">
        <v>127</v>
      </c>
      <c r="M4" s="8" t="s">
        <v>127</v>
      </c>
      <c r="N4" s="39"/>
      <c r="O4" s="39" t="s">
        <v>130</v>
      </c>
    </row>
    <row r="5">
      <c r="A5" s="38" t="s">
        <v>2872</v>
      </c>
      <c r="B5" s="38" t="s">
        <v>20</v>
      </c>
      <c r="C5" s="39" t="s">
        <v>2873</v>
      </c>
      <c r="D5" s="8" t="s">
        <v>219</v>
      </c>
      <c r="E5" s="8" t="s">
        <v>1396</v>
      </c>
      <c r="F5" s="39" t="s">
        <v>2874</v>
      </c>
      <c r="G5" s="39" t="s">
        <v>2875</v>
      </c>
      <c r="H5" s="39" t="s">
        <v>2493</v>
      </c>
      <c r="I5" s="39" t="s">
        <v>2876</v>
      </c>
      <c r="J5" s="39" t="s">
        <v>1063</v>
      </c>
      <c r="K5" s="8" t="s">
        <v>91</v>
      </c>
      <c r="L5" s="8" t="s">
        <v>105</v>
      </c>
      <c r="M5" s="8" t="s">
        <v>105</v>
      </c>
      <c r="N5" s="39"/>
      <c r="O5" s="39" t="s">
        <v>1480</v>
      </c>
    </row>
    <row r="6">
      <c r="A6" s="38" t="s">
        <v>2877</v>
      </c>
      <c r="B6" s="38" t="s">
        <v>20</v>
      </c>
      <c r="C6" s="39" t="s">
        <v>2878</v>
      </c>
      <c r="D6" s="8" t="s">
        <v>219</v>
      </c>
      <c r="E6" s="8" t="s">
        <v>1396</v>
      </c>
      <c r="F6" s="39" t="s">
        <v>2879</v>
      </c>
      <c r="G6" s="39" t="s">
        <v>210</v>
      </c>
      <c r="H6" s="39" t="s">
        <v>2493</v>
      </c>
      <c r="I6" s="39" t="s">
        <v>2876</v>
      </c>
      <c r="J6" s="39" t="s">
        <v>1063</v>
      </c>
      <c r="K6" s="8" t="s">
        <v>91</v>
      </c>
      <c r="L6" s="8" t="s">
        <v>105</v>
      </c>
      <c r="M6" s="8" t="s">
        <v>92</v>
      </c>
      <c r="N6" s="39"/>
      <c r="O6" s="39" t="s">
        <v>2880</v>
      </c>
    </row>
    <row r="7">
      <c r="A7" s="38" t="s">
        <v>2881</v>
      </c>
      <c r="B7" s="38" t="s">
        <v>20</v>
      </c>
      <c r="C7" s="39" t="s">
        <v>2882</v>
      </c>
      <c r="D7" s="8" t="s">
        <v>219</v>
      </c>
      <c r="E7" s="8" t="s">
        <v>1396</v>
      </c>
      <c r="F7" s="39" t="s">
        <v>2883</v>
      </c>
      <c r="G7" s="39" t="s">
        <v>221</v>
      </c>
      <c r="H7" s="39" t="s">
        <v>2493</v>
      </c>
      <c r="I7" s="39" t="s">
        <v>2884</v>
      </c>
      <c r="J7" s="39" t="s">
        <v>2749</v>
      </c>
      <c r="K7" s="8" t="s">
        <v>91</v>
      </c>
      <c r="L7" s="8" t="s">
        <v>121</v>
      </c>
      <c r="M7" s="8" t="s">
        <v>105</v>
      </c>
      <c r="N7" s="39"/>
      <c r="O7" s="39" t="s">
        <v>107</v>
      </c>
    </row>
    <row r="8">
      <c r="A8" s="38" t="s">
        <v>2885</v>
      </c>
      <c r="B8" s="38" t="s">
        <v>20</v>
      </c>
      <c r="C8" s="39" t="s">
        <v>2886</v>
      </c>
      <c r="D8" s="8" t="s">
        <v>219</v>
      </c>
      <c r="E8" s="8" t="s">
        <v>1396</v>
      </c>
      <c r="F8" s="39" t="s">
        <v>2887</v>
      </c>
      <c r="G8" s="39" t="s">
        <v>221</v>
      </c>
      <c r="H8" s="39" t="s">
        <v>2493</v>
      </c>
      <c r="I8" s="39" t="s">
        <v>2884</v>
      </c>
      <c r="J8" s="39" t="s">
        <v>2888</v>
      </c>
      <c r="K8" s="8" t="s">
        <v>91</v>
      </c>
      <c r="L8" s="8" t="s">
        <v>121</v>
      </c>
      <c r="M8" s="8" t="s">
        <v>105</v>
      </c>
      <c r="N8" s="39"/>
      <c r="O8" s="39" t="s">
        <v>107</v>
      </c>
    </row>
    <row r="9">
      <c r="A9" s="38" t="s">
        <v>2889</v>
      </c>
      <c r="B9" s="38" t="s">
        <v>20</v>
      </c>
      <c r="C9" s="39" t="s">
        <v>2890</v>
      </c>
      <c r="D9" s="8" t="s">
        <v>219</v>
      </c>
      <c r="E9" s="8" t="s">
        <v>1396</v>
      </c>
      <c r="F9" s="39" t="s">
        <v>2891</v>
      </c>
      <c r="G9" s="39" t="s">
        <v>221</v>
      </c>
      <c r="H9" s="39" t="s">
        <v>2493</v>
      </c>
      <c r="I9" s="39" t="s">
        <v>2884</v>
      </c>
      <c r="J9" s="39" t="s">
        <v>2892</v>
      </c>
      <c r="K9" s="8" t="s">
        <v>91</v>
      </c>
      <c r="L9" s="8" t="s">
        <v>121</v>
      </c>
      <c r="M9" s="8" t="s">
        <v>105</v>
      </c>
      <c r="N9" s="39"/>
      <c r="O9" s="39" t="s">
        <v>1095</v>
      </c>
    </row>
    <row r="10">
      <c r="A10" s="38" t="s">
        <v>2893</v>
      </c>
      <c r="B10" s="38" t="s">
        <v>20</v>
      </c>
      <c r="C10" s="39" t="s">
        <v>2894</v>
      </c>
      <c r="D10" s="8" t="s">
        <v>219</v>
      </c>
      <c r="E10" s="8" t="s">
        <v>1396</v>
      </c>
      <c r="F10" s="39" t="s">
        <v>2895</v>
      </c>
      <c r="G10" s="39" t="s">
        <v>221</v>
      </c>
      <c r="H10" s="39" t="s">
        <v>2493</v>
      </c>
      <c r="I10" s="39" t="s">
        <v>2884</v>
      </c>
      <c r="J10" s="39" t="s">
        <v>2757</v>
      </c>
      <c r="K10" s="8" t="s">
        <v>91</v>
      </c>
      <c r="L10" s="8" t="s">
        <v>121</v>
      </c>
      <c r="M10" s="8" t="s">
        <v>105</v>
      </c>
      <c r="N10" s="39"/>
      <c r="O10" s="39" t="s">
        <v>1717</v>
      </c>
    </row>
    <row r="11">
      <c r="A11" s="38" t="s">
        <v>2896</v>
      </c>
      <c r="B11" s="38" t="s">
        <v>20</v>
      </c>
      <c r="C11" s="39" t="s">
        <v>2897</v>
      </c>
      <c r="D11" s="8" t="s">
        <v>219</v>
      </c>
      <c r="E11" s="8" t="s">
        <v>1396</v>
      </c>
      <c r="F11" s="39" t="s">
        <v>2898</v>
      </c>
      <c r="G11" s="39" t="s">
        <v>2899</v>
      </c>
      <c r="H11" s="39" t="s">
        <v>2493</v>
      </c>
      <c r="I11" s="39" t="s">
        <v>2900</v>
      </c>
      <c r="J11" s="39" t="s">
        <v>2901</v>
      </c>
      <c r="K11" s="8" t="s">
        <v>91</v>
      </c>
      <c r="L11" s="8" t="s">
        <v>127</v>
      </c>
      <c r="M11" s="8" t="s">
        <v>127</v>
      </c>
      <c r="N11" s="39"/>
      <c r="O11" s="39" t="s">
        <v>791</v>
      </c>
    </row>
    <row r="12">
      <c r="A12" s="38" t="s">
        <v>2902</v>
      </c>
      <c r="B12" s="38" t="s">
        <v>20</v>
      </c>
      <c r="C12" s="39" t="s">
        <v>2903</v>
      </c>
      <c r="D12" s="8" t="s">
        <v>219</v>
      </c>
      <c r="E12" s="8" t="s">
        <v>1396</v>
      </c>
      <c r="F12" s="39" t="s">
        <v>2898</v>
      </c>
      <c r="G12" s="39" t="s">
        <v>210</v>
      </c>
      <c r="H12" s="39" t="s">
        <v>2493</v>
      </c>
      <c r="I12" s="39" t="s">
        <v>2904</v>
      </c>
      <c r="J12" s="39" t="s">
        <v>1063</v>
      </c>
      <c r="K12" s="8" t="s">
        <v>91</v>
      </c>
      <c r="L12" s="8" t="s">
        <v>127</v>
      </c>
      <c r="M12" s="8" t="s">
        <v>127</v>
      </c>
      <c r="N12" s="39"/>
      <c r="O12" s="39" t="s">
        <v>151</v>
      </c>
    </row>
    <row r="13">
      <c r="A13" s="38" t="s">
        <v>2905</v>
      </c>
      <c r="B13" s="38" t="s">
        <v>20</v>
      </c>
      <c r="C13" s="39" t="s">
        <v>2906</v>
      </c>
      <c r="D13" s="8" t="s">
        <v>219</v>
      </c>
      <c r="E13" s="8" t="s">
        <v>1396</v>
      </c>
      <c r="F13" s="39" t="s">
        <v>2761</v>
      </c>
      <c r="G13" s="39" t="s">
        <v>221</v>
      </c>
      <c r="H13" s="39" t="s">
        <v>2493</v>
      </c>
      <c r="I13" s="39" t="s">
        <v>2884</v>
      </c>
      <c r="J13" s="39" t="s">
        <v>1063</v>
      </c>
      <c r="K13" s="8" t="s">
        <v>91</v>
      </c>
      <c r="L13" s="8" t="s">
        <v>92</v>
      </c>
      <c r="M13" s="8" t="s">
        <v>92</v>
      </c>
      <c r="N13" s="39"/>
      <c r="O13" s="39" t="s">
        <v>1087</v>
      </c>
    </row>
    <row r="14">
      <c r="A14" s="38" t="s">
        <v>2907</v>
      </c>
      <c r="B14" s="38" t="s">
        <v>20</v>
      </c>
      <c r="C14" s="50" t="s">
        <v>2908</v>
      </c>
      <c r="D14" s="38" t="s">
        <v>84</v>
      </c>
      <c r="E14" s="8" t="s">
        <v>1396</v>
      </c>
      <c r="F14" s="50" t="s">
        <v>127</v>
      </c>
      <c r="G14" s="50" t="s">
        <v>2909</v>
      </c>
      <c r="H14" s="50" t="s">
        <v>2910</v>
      </c>
      <c r="I14" s="50" t="s">
        <v>2911</v>
      </c>
      <c r="J14" s="50" t="s">
        <v>1157</v>
      </c>
      <c r="K14" s="8" t="s">
        <v>802</v>
      </c>
      <c r="L14" s="38" t="s">
        <v>127</v>
      </c>
      <c r="M14" s="38" t="s">
        <v>127</v>
      </c>
      <c r="N14" s="71"/>
      <c r="O14" s="47"/>
    </row>
    <row r="15">
      <c r="A15" s="38" t="s">
        <v>2912</v>
      </c>
      <c r="B15" s="38" t="s">
        <v>20</v>
      </c>
      <c r="C15" s="50" t="s">
        <v>1628</v>
      </c>
      <c r="D15" s="38" t="s">
        <v>219</v>
      </c>
      <c r="E15" s="8" t="s">
        <v>1396</v>
      </c>
      <c r="F15" s="50" t="s">
        <v>2898</v>
      </c>
      <c r="G15" s="50" t="s">
        <v>2909</v>
      </c>
      <c r="H15" s="50" t="s">
        <v>2493</v>
      </c>
      <c r="I15" s="50" t="s">
        <v>2913</v>
      </c>
      <c r="J15" s="50" t="s">
        <v>1063</v>
      </c>
      <c r="K15" s="8" t="s">
        <v>91</v>
      </c>
      <c r="L15" s="38" t="s">
        <v>127</v>
      </c>
      <c r="M15" s="38" t="s">
        <v>127</v>
      </c>
      <c r="N15" s="71"/>
      <c r="O15" s="47"/>
    </row>
  </sheetData>
  <mergeCells count="2">
    <mergeCell ref="B3:J3"/>
    <mergeCell ref="K3:O3"/>
  </mergeCells>
  <dataValidations>
    <dataValidation type="list" allowBlank="1" showErrorMessage="1" sqref="D4:D15">
      <formula1>"GET,POST,PATCH,DELETE,PUT"</formula1>
    </dataValidation>
    <dataValidation type="list" allowBlank="1" showErrorMessage="1" sqref="L4:M15">
      <formula1>"High,Medium,Low,N/A"</formula1>
    </dataValidation>
    <dataValidation type="list" allowBlank="1" showErrorMessage="1" sqref="K3:K15">
      <formula1>"Pass,Fail,Not Tested,Fixed,Pass/Fail"</formula1>
    </dataValidation>
  </dataValidations>
  <hyperlinks>
    <hyperlink display="&lt;&lt;&lt;TestScenario" location="TestScenario!A1" ref="A1"/>
    <hyperlink display="&lt;&lt;&lt;APITestScenario" location="APIFunctionality!A1" ref="B1"/>
    <hyperlink display="&lt;&lt;&lt;AuthAPITestScenario" location="AuthAPI!A1" ref="C1"/>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6.38"/>
    <col customWidth="1" min="3" max="3" width="30.38"/>
    <col customWidth="1" min="4" max="4" width="18.38"/>
    <col customWidth="1" min="5" max="5" width="29.13"/>
    <col customWidth="1" min="6" max="6" width="28.88"/>
    <col customWidth="1" min="7" max="7" width="27.5"/>
    <col customWidth="1" min="8" max="8" width="32.25"/>
    <col customWidth="1" min="9" max="9" width="32.0"/>
    <col customWidth="1" min="10" max="10" width="29.0"/>
    <col customWidth="1" min="11" max="11" width="19.0"/>
    <col customWidth="1" min="12" max="12" width="18.63"/>
    <col customWidth="1" min="13" max="13" width="17.0"/>
    <col customWidth="1" min="14" max="14" width="24.88"/>
    <col customWidth="1" min="15" max="15" width="28.25"/>
  </cols>
  <sheetData>
    <row r="1">
      <c r="A1" s="22" t="s">
        <v>0</v>
      </c>
      <c r="B1" s="22" t="s">
        <v>13</v>
      </c>
      <c r="C1" s="22" t="s">
        <v>2434</v>
      </c>
      <c r="D1" s="28"/>
      <c r="E1" s="28"/>
      <c r="F1" s="28"/>
      <c r="G1" s="28"/>
      <c r="H1" s="28"/>
      <c r="I1" s="28"/>
      <c r="J1" s="28"/>
      <c r="K1" s="28"/>
      <c r="L1" s="28"/>
      <c r="M1" s="28"/>
      <c r="N1" s="28"/>
      <c r="O1" s="28"/>
      <c r="P1" s="28"/>
      <c r="Q1" s="28"/>
      <c r="R1" s="28"/>
      <c r="S1" s="28"/>
      <c r="T1" s="28"/>
      <c r="U1" s="28"/>
      <c r="V1" s="28"/>
      <c r="W1" s="28"/>
      <c r="X1" s="28"/>
      <c r="Y1" s="28"/>
      <c r="Z1" s="28"/>
    </row>
    <row r="2" ht="36.0" customHeight="1">
      <c r="A2" s="33" t="s">
        <v>55</v>
      </c>
      <c r="B2" s="33" t="s">
        <v>57</v>
      </c>
      <c r="C2" s="33" t="s">
        <v>58</v>
      </c>
      <c r="D2" s="33" t="s">
        <v>60</v>
      </c>
      <c r="E2" s="33" t="s">
        <v>61</v>
      </c>
      <c r="F2" s="33" t="s">
        <v>69</v>
      </c>
      <c r="G2" s="33" t="s">
        <v>71</v>
      </c>
      <c r="H2" s="33" t="s">
        <v>72</v>
      </c>
      <c r="I2" s="33" t="s">
        <v>73</v>
      </c>
      <c r="J2" s="33" t="s">
        <v>74</v>
      </c>
      <c r="K2" s="33" t="s">
        <v>75</v>
      </c>
      <c r="L2" s="33" t="s">
        <v>76</v>
      </c>
      <c r="M2" s="33" t="s">
        <v>4</v>
      </c>
      <c r="N2" s="34" t="s">
        <v>77</v>
      </c>
      <c r="O2" s="34" t="s">
        <v>78</v>
      </c>
      <c r="P2" s="28"/>
      <c r="Q2" s="28"/>
      <c r="R2" s="28"/>
      <c r="S2" s="28"/>
      <c r="T2" s="28"/>
      <c r="U2" s="28"/>
      <c r="V2" s="28"/>
      <c r="W2" s="28"/>
      <c r="X2" s="28"/>
      <c r="Y2" s="28"/>
      <c r="Z2" s="28"/>
    </row>
    <row r="3">
      <c r="A3" s="48"/>
      <c r="B3" s="49" t="s">
        <v>2914</v>
      </c>
      <c r="C3" s="23"/>
      <c r="D3" s="23"/>
      <c r="E3" s="23"/>
      <c r="F3" s="23"/>
      <c r="G3" s="23"/>
      <c r="H3" s="23"/>
      <c r="I3" s="23"/>
      <c r="J3" s="24"/>
      <c r="K3" s="69"/>
      <c r="L3" s="23"/>
      <c r="M3" s="23"/>
      <c r="N3" s="23"/>
      <c r="O3" s="24"/>
      <c r="P3" s="28"/>
      <c r="Q3" s="28"/>
      <c r="R3" s="28"/>
      <c r="S3" s="28"/>
      <c r="T3" s="28"/>
      <c r="U3" s="28"/>
      <c r="V3" s="28"/>
      <c r="W3" s="28"/>
      <c r="X3" s="28"/>
      <c r="Y3" s="28"/>
      <c r="Z3" s="28"/>
    </row>
    <row r="4">
      <c r="A4" s="38" t="s">
        <v>2915</v>
      </c>
      <c r="B4" s="38" t="s">
        <v>28</v>
      </c>
      <c r="C4" s="39" t="s">
        <v>2916</v>
      </c>
      <c r="D4" s="8" t="s">
        <v>734</v>
      </c>
      <c r="E4" s="8" t="s">
        <v>2917</v>
      </c>
      <c r="F4" s="39" t="s">
        <v>2918</v>
      </c>
      <c r="G4" s="39" t="s">
        <v>2919</v>
      </c>
      <c r="H4" s="39" t="s">
        <v>2920</v>
      </c>
      <c r="I4" s="39" t="s">
        <v>2921</v>
      </c>
      <c r="J4" s="39" t="s">
        <v>2922</v>
      </c>
      <c r="K4" s="8" t="s">
        <v>91</v>
      </c>
      <c r="L4" s="8" t="s">
        <v>127</v>
      </c>
      <c r="M4" s="8" t="s">
        <v>127</v>
      </c>
      <c r="N4" s="39"/>
      <c r="O4" s="39" t="s">
        <v>130</v>
      </c>
      <c r="P4" s="28"/>
      <c r="Q4" s="28"/>
      <c r="R4" s="28"/>
      <c r="S4" s="28"/>
      <c r="T4" s="28"/>
      <c r="U4" s="28"/>
      <c r="V4" s="28"/>
      <c r="W4" s="28"/>
      <c r="X4" s="28"/>
      <c r="Y4" s="28"/>
      <c r="Z4" s="28"/>
    </row>
    <row r="5">
      <c r="A5" s="38" t="s">
        <v>2923</v>
      </c>
      <c r="B5" s="38" t="s">
        <v>28</v>
      </c>
      <c r="C5" s="39" t="s">
        <v>2924</v>
      </c>
      <c r="D5" s="8" t="s">
        <v>734</v>
      </c>
      <c r="E5" s="8" t="s">
        <v>2917</v>
      </c>
      <c r="F5" s="39" t="s">
        <v>221</v>
      </c>
      <c r="G5" s="39" t="s">
        <v>2819</v>
      </c>
      <c r="H5" s="39" t="s">
        <v>2925</v>
      </c>
      <c r="I5" s="39" t="s">
        <v>2876</v>
      </c>
      <c r="J5" s="39" t="s">
        <v>2926</v>
      </c>
      <c r="K5" s="8" t="s">
        <v>91</v>
      </c>
      <c r="L5" s="8" t="s">
        <v>105</v>
      </c>
      <c r="M5" s="8" t="s">
        <v>92</v>
      </c>
      <c r="N5" s="39"/>
      <c r="O5" s="39" t="s">
        <v>2927</v>
      </c>
      <c r="P5" s="28"/>
      <c r="Q5" s="28"/>
      <c r="R5" s="28"/>
      <c r="S5" s="28"/>
      <c r="T5" s="28"/>
      <c r="U5" s="28"/>
      <c r="V5" s="28"/>
      <c r="W5" s="28"/>
      <c r="X5" s="28"/>
      <c r="Y5" s="28"/>
      <c r="Z5" s="28"/>
    </row>
    <row r="6">
      <c r="A6" s="38" t="s">
        <v>2928</v>
      </c>
      <c r="B6" s="38" t="s">
        <v>28</v>
      </c>
      <c r="C6" s="39" t="s">
        <v>2929</v>
      </c>
      <c r="D6" s="8" t="s">
        <v>734</v>
      </c>
      <c r="E6" s="8" t="s">
        <v>2917</v>
      </c>
      <c r="F6" s="39" t="s">
        <v>2930</v>
      </c>
      <c r="G6" s="39" t="s">
        <v>221</v>
      </c>
      <c r="H6" s="39" t="s">
        <v>2931</v>
      </c>
      <c r="I6" s="39" t="s">
        <v>2876</v>
      </c>
      <c r="J6" s="39" t="s">
        <v>144</v>
      </c>
      <c r="K6" s="8" t="s">
        <v>91</v>
      </c>
      <c r="L6" s="8" t="s">
        <v>105</v>
      </c>
      <c r="M6" s="8" t="s">
        <v>92</v>
      </c>
      <c r="N6" s="39"/>
      <c r="O6" s="39" t="s">
        <v>151</v>
      </c>
      <c r="P6" s="28"/>
      <c r="Q6" s="28"/>
      <c r="R6" s="28"/>
      <c r="S6" s="28"/>
      <c r="T6" s="28"/>
      <c r="U6" s="28"/>
      <c r="V6" s="28"/>
      <c r="W6" s="28"/>
      <c r="X6" s="28"/>
      <c r="Y6" s="28"/>
      <c r="Z6" s="28"/>
    </row>
    <row r="7">
      <c r="A7" s="38" t="s">
        <v>2932</v>
      </c>
      <c r="B7" s="38" t="s">
        <v>28</v>
      </c>
      <c r="C7" s="39" t="s">
        <v>2933</v>
      </c>
      <c r="D7" s="8" t="s">
        <v>734</v>
      </c>
      <c r="E7" s="8" t="s">
        <v>2917</v>
      </c>
      <c r="F7" s="39" t="s">
        <v>2934</v>
      </c>
      <c r="G7" s="39" t="s">
        <v>233</v>
      </c>
      <c r="H7" s="39" t="s">
        <v>2935</v>
      </c>
      <c r="I7" s="39" t="s">
        <v>2936</v>
      </c>
      <c r="J7" s="39" t="s">
        <v>142</v>
      </c>
      <c r="K7" s="8" t="s">
        <v>91</v>
      </c>
      <c r="L7" s="8" t="s">
        <v>105</v>
      </c>
      <c r="M7" s="8" t="s">
        <v>92</v>
      </c>
      <c r="N7" s="39"/>
      <c r="O7" s="39" t="s">
        <v>2937</v>
      </c>
      <c r="P7" s="28"/>
      <c r="Q7" s="28"/>
      <c r="R7" s="28"/>
      <c r="S7" s="28"/>
      <c r="T7" s="28"/>
      <c r="U7" s="28"/>
      <c r="V7" s="28"/>
      <c r="W7" s="28"/>
      <c r="X7" s="28"/>
      <c r="Y7" s="28"/>
      <c r="Z7" s="28"/>
    </row>
    <row r="8">
      <c r="A8" s="38" t="s">
        <v>2938</v>
      </c>
      <c r="B8" s="38" t="s">
        <v>28</v>
      </c>
      <c r="C8" s="39" t="s">
        <v>2939</v>
      </c>
      <c r="D8" s="8" t="s">
        <v>734</v>
      </c>
      <c r="E8" s="8" t="s">
        <v>2917</v>
      </c>
      <c r="F8" s="39" t="s">
        <v>2940</v>
      </c>
      <c r="G8" s="39" t="s">
        <v>2941</v>
      </c>
      <c r="H8" s="39" t="s">
        <v>2942</v>
      </c>
      <c r="I8" s="39" t="s">
        <v>2943</v>
      </c>
      <c r="J8" s="39" t="s">
        <v>144</v>
      </c>
      <c r="K8" s="8" t="s">
        <v>91</v>
      </c>
      <c r="L8" s="8" t="s">
        <v>121</v>
      </c>
      <c r="M8" s="8" t="s">
        <v>105</v>
      </c>
      <c r="N8" s="39"/>
      <c r="O8" s="39" t="s">
        <v>2944</v>
      </c>
      <c r="P8" s="28"/>
      <c r="Q8" s="28"/>
      <c r="R8" s="28"/>
      <c r="S8" s="28"/>
      <c r="T8" s="28"/>
      <c r="U8" s="28"/>
      <c r="V8" s="28"/>
      <c r="W8" s="28"/>
      <c r="X8" s="28"/>
      <c r="Y8" s="28"/>
      <c r="Z8" s="28"/>
    </row>
    <row r="9">
      <c r="A9" s="38" t="s">
        <v>2945</v>
      </c>
      <c r="B9" s="38" t="s">
        <v>28</v>
      </c>
      <c r="C9" s="39" t="s">
        <v>2946</v>
      </c>
      <c r="D9" s="8" t="s">
        <v>734</v>
      </c>
      <c r="E9" s="8" t="s">
        <v>2917</v>
      </c>
      <c r="F9" s="39" t="s">
        <v>2947</v>
      </c>
      <c r="G9" s="39" t="s">
        <v>2365</v>
      </c>
      <c r="H9" s="39" t="s">
        <v>2935</v>
      </c>
      <c r="I9" s="39" t="s">
        <v>2921</v>
      </c>
      <c r="J9" s="39" t="s">
        <v>144</v>
      </c>
      <c r="K9" s="8" t="s">
        <v>91</v>
      </c>
      <c r="L9" s="8" t="s">
        <v>127</v>
      </c>
      <c r="M9" s="8" t="s">
        <v>127</v>
      </c>
      <c r="N9" s="39"/>
      <c r="O9" s="39" t="s">
        <v>2848</v>
      </c>
      <c r="P9" s="28"/>
      <c r="Q9" s="28"/>
      <c r="R9" s="28"/>
      <c r="S9" s="28"/>
      <c r="T9" s="28"/>
      <c r="U9" s="28"/>
      <c r="V9" s="28"/>
      <c r="W9" s="28"/>
      <c r="X9" s="28"/>
      <c r="Y9" s="28"/>
      <c r="Z9" s="28"/>
    </row>
    <row r="10">
      <c r="A10" s="38" t="s">
        <v>2948</v>
      </c>
      <c r="B10" s="38" t="s">
        <v>28</v>
      </c>
      <c r="C10" s="39" t="s">
        <v>2949</v>
      </c>
      <c r="D10" s="8" t="s">
        <v>734</v>
      </c>
      <c r="E10" s="8" t="s">
        <v>2917</v>
      </c>
      <c r="F10" s="39" t="s">
        <v>300</v>
      </c>
      <c r="G10" s="39" t="s">
        <v>2950</v>
      </c>
      <c r="H10" s="39" t="s">
        <v>2951</v>
      </c>
      <c r="I10" s="39" t="s">
        <v>2952</v>
      </c>
      <c r="J10" s="39" t="s">
        <v>2953</v>
      </c>
      <c r="K10" s="8" t="s">
        <v>91</v>
      </c>
      <c r="L10" s="8" t="s">
        <v>92</v>
      </c>
      <c r="M10" s="8" t="s">
        <v>92</v>
      </c>
      <c r="N10" s="39"/>
      <c r="O10" s="39" t="s">
        <v>2954</v>
      </c>
      <c r="P10" s="28"/>
      <c r="Q10" s="28"/>
      <c r="R10" s="28"/>
      <c r="S10" s="28"/>
      <c r="T10" s="28"/>
      <c r="U10" s="28"/>
      <c r="V10" s="28"/>
      <c r="W10" s="28"/>
      <c r="X10" s="28"/>
      <c r="Y10" s="28"/>
      <c r="Z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sheetData>
  <mergeCells count="2">
    <mergeCell ref="B3:J3"/>
    <mergeCell ref="K3:O3"/>
  </mergeCells>
  <dataValidations>
    <dataValidation type="list" allowBlank="1" showErrorMessage="1" sqref="D4:D10">
      <formula1>"GET,POST,PATCH,DELETE,PUT"</formula1>
    </dataValidation>
    <dataValidation type="list" allowBlank="1" showErrorMessage="1" sqref="L4:M10">
      <formula1>"High,Medium,Low,N/A"</formula1>
    </dataValidation>
    <dataValidation type="list" allowBlank="1" showErrorMessage="1" sqref="K3:K10">
      <formula1>"Pass,Fail,Not tested,Fixed"</formula1>
    </dataValidation>
  </dataValidations>
  <hyperlinks>
    <hyperlink display="&lt;&lt;&lt;TestScenario" location="TestScenario!A1" ref="A1"/>
    <hyperlink display="&lt;&lt;&lt;APITestScenario" location="APIFunctionality!A1" ref="B1"/>
    <hyperlink display="&lt;&lt;&lt;AuthAPITestScenario" location="AuthAPI!A1" ref="C1"/>
  </hyperlinks>
  <drawing r:id="rId1"/>
</worksheet>
</file>